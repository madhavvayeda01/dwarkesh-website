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70bd5be4e95668/Desktop/Dwarkesh/SHARVAAY/"/>
    </mc:Choice>
  </mc:AlternateContent>
  <xr:revisionPtr revIDLastSave="12" documentId="13_ncr:1_{E4C1C193-FF4C-446F-BF5E-5FD510F74BCA}" xr6:coauthVersionLast="47" xr6:coauthVersionMax="47" xr10:uidLastSave="{8971A0A3-CAC5-4BDF-99CF-BE6530D5DF37}"/>
  <bookViews>
    <workbookView xWindow="-108" yWindow="-108" windowWidth="23256" windowHeight="12456" xr2:uid="{00000000-000D-0000-FFFF-FFFF00000000}"/>
  </bookViews>
  <sheets>
    <sheet name="MASTER" sheetId="9" r:id="rId1"/>
  </sheets>
  <definedNames>
    <definedName name="_xlnm._FilterDatabase" localSheetId="0" hidden="1">MASTER!$A$4:$AP$204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9" l="1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K8" i="9"/>
  <c r="R8" i="9"/>
  <c r="Y8" i="9"/>
  <c r="AF8" i="9"/>
  <c r="AF10" i="9" s="1"/>
  <c r="K9" i="9"/>
  <c r="AF11" i="9"/>
  <c r="Y12" i="9"/>
  <c r="AF12" i="9"/>
  <c r="Y13" i="9"/>
  <c r="AF13" i="9"/>
  <c r="AF14" i="9"/>
  <c r="K15" i="9"/>
  <c r="R15" i="9"/>
  <c r="Y15" i="9"/>
  <c r="AF15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G17" i="9"/>
  <c r="N17" i="9"/>
  <c r="U17" i="9"/>
  <c r="AB17" i="9"/>
  <c r="AI17" i="9"/>
  <c r="G18" i="9"/>
  <c r="N18" i="9"/>
  <c r="AB18" i="9"/>
  <c r="G19" i="9"/>
  <c r="N19" i="9"/>
  <c r="U19" i="9"/>
  <c r="AB19" i="9"/>
  <c r="G20" i="9"/>
  <c r="N20" i="9"/>
  <c r="G21" i="9"/>
  <c r="N21" i="9"/>
  <c r="G22" i="9"/>
  <c r="AI22" i="9"/>
  <c r="G23" i="9"/>
  <c r="AB23" i="9"/>
  <c r="AI23" i="9"/>
  <c r="G24" i="9"/>
  <c r="U24" i="9"/>
  <c r="AB24" i="9"/>
  <c r="AI24" i="9"/>
  <c r="E25" i="9"/>
  <c r="F25" i="9"/>
  <c r="G25" i="9"/>
  <c r="H25" i="9"/>
  <c r="Z26" i="9" s="1"/>
  <c r="Z31" i="9" s="1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F26" i="9"/>
  <c r="M26" i="9"/>
  <c r="T26" i="9"/>
  <c r="AA26" i="9"/>
  <c r="AH26" i="9"/>
  <c r="F27" i="9"/>
  <c r="M27" i="9"/>
  <c r="T27" i="9"/>
  <c r="AA27" i="9"/>
  <c r="F28" i="9"/>
  <c r="T28" i="9"/>
  <c r="F29" i="9"/>
  <c r="F30" i="9"/>
  <c r="T31" i="9"/>
  <c r="T32" i="9"/>
  <c r="F33" i="9"/>
  <c r="T33" i="9"/>
  <c r="AH33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G35" i="9"/>
  <c r="N35" i="9"/>
  <c r="U35" i="9"/>
  <c r="AB35" i="9"/>
  <c r="AI35" i="9"/>
  <c r="G36" i="9"/>
  <c r="N36" i="9"/>
  <c r="U36" i="9"/>
  <c r="AB36" i="9"/>
  <c r="AI36" i="9"/>
  <c r="G37" i="9"/>
  <c r="N37" i="9"/>
  <c r="U37" i="9"/>
  <c r="AI37" i="9"/>
  <c r="G38" i="9"/>
  <c r="N38" i="9"/>
  <c r="U38" i="9"/>
  <c r="AI38" i="9"/>
  <c r="G39" i="9"/>
  <c r="N39" i="9"/>
  <c r="U39" i="9"/>
  <c r="AB39" i="9"/>
  <c r="G40" i="9"/>
  <c r="N40" i="9"/>
  <c r="U40" i="9"/>
  <c r="G41" i="9"/>
  <c r="N41" i="9"/>
  <c r="U41" i="9"/>
  <c r="AI41" i="9"/>
  <c r="G42" i="9"/>
  <c r="N42" i="9"/>
  <c r="U42" i="9"/>
  <c r="AI42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I44" i="9"/>
  <c r="P44" i="9"/>
  <c r="W44" i="9"/>
  <c r="AD44" i="9"/>
  <c r="I45" i="9"/>
  <c r="P45" i="9"/>
  <c r="W45" i="9"/>
  <c r="I46" i="9"/>
  <c r="P46" i="9"/>
  <c r="W46" i="9"/>
  <c r="I47" i="9"/>
  <c r="P47" i="9"/>
  <c r="W47" i="9"/>
  <c r="AD47" i="9"/>
  <c r="I48" i="9"/>
  <c r="P48" i="9"/>
  <c r="W48" i="9"/>
  <c r="I49" i="9"/>
  <c r="P49" i="9"/>
  <c r="W49" i="9"/>
  <c r="I50" i="9"/>
  <c r="P50" i="9"/>
  <c r="W50" i="9"/>
  <c r="I51" i="9"/>
  <c r="P51" i="9"/>
  <c r="W51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K53" i="9"/>
  <c r="K54" i="9" s="1"/>
  <c r="R53" i="9"/>
  <c r="Y53" i="9"/>
  <c r="AF53" i="9"/>
  <c r="R54" i="9"/>
  <c r="Y54" i="9"/>
  <c r="AF54" i="9"/>
  <c r="K55" i="9"/>
  <c r="R55" i="9"/>
  <c r="Y55" i="9"/>
  <c r="AF55" i="9"/>
  <c r="K56" i="9"/>
  <c r="R56" i="9"/>
  <c r="Y56" i="9"/>
  <c r="AF56" i="9"/>
  <c r="K57" i="9"/>
  <c r="R57" i="9"/>
  <c r="Y57" i="9"/>
  <c r="AF57" i="9"/>
  <c r="K58" i="9"/>
  <c r="R58" i="9"/>
  <c r="Y58" i="9"/>
  <c r="AF58" i="9"/>
  <c r="K59" i="9"/>
  <c r="R59" i="9"/>
  <c r="Y59" i="9"/>
  <c r="AF59" i="9"/>
  <c r="K60" i="9"/>
  <c r="R60" i="9"/>
  <c r="Y60" i="9"/>
  <c r="AF60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F62" i="9"/>
  <c r="M62" i="9"/>
  <c r="T62" i="9"/>
  <c r="T65" i="9" s="1"/>
  <c r="AA62" i="9"/>
  <c r="AH62" i="9"/>
  <c r="F63" i="9"/>
  <c r="M63" i="9"/>
  <c r="T63" i="9"/>
  <c r="AH63" i="9"/>
  <c r="F64" i="9"/>
  <c r="M64" i="9"/>
  <c r="T64" i="9"/>
  <c r="AH64" i="9"/>
  <c r="F65" i="9"/>
  <c r="M65" i="9"/>
  <c r="AA65" i="9"/>
  <c r="F66" i="9"/>
  <c r="M66" i="9"/>
  <c r="T66" i="9"/>
  <c r="F67" i="9"/>
  <c r="M67" i="9"/>
  <c r="F68" i="9"/>
  <c r="M68" i="9"/>
  <c r="AH68" i="9"/>
  <c r="F69" i="9"/>
  <c r="M69" i="9"/>
  <c r="AH69" i="9"/>
  <c r="E70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G71" i="9"/>
  <c r="N71" i="9"/>
  <c r="U71" i="9"/>
  <c r="AB71" i="9"/>
  <c r="AI71" i="9"/>
  <c r="G72" i="9"/>
  <c r="N72" i="9"/>
  <c r="U72" i="9"/>
  <c r="AI72" i="9"/>
  <c r="G73" i="9"/>
  <c r="N73" i="9"/>
  <c r="AB73" i="9"/>
  <c r="G74" i="9"/>
  <c r="N74" i="9"/>
  <c r="U74" i="9"/>
  <c r="AB74" i="9"/>
  <c r="G75" i="9"/>
  <c r="N75" i="9"/>
  <c r="U75" i="9"/>
  <c r="G76" i="9"/>
  <c r="N76" i="9"/>
  <c r="G77" i="9"/>
  <c r="N77" i="9"/>
  <c r="G78" i="9"/>
  <c r="N78" i="9"/>
  <c r="AI78" i="9"/>
  <c r="E79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H80" i="9"/>
  <c r="O80" i="9"/>
  <c r="V80" i="9"/>
  <c r="AC80" i="9"/>
  <c r="H81" i="9"/>
  <c r="O81" i="9"/>
  <c r="V81" i="9"/>
  <c r="H82" i="9"/>
  <c r="O82" i="9"/>
  <c r="V82" i="9"/>
  <c r="AC82" i="9"/>
  <c r="H83" i="9"/>
  <c r="O83" i="9"/>
  <c r="V83" i="9"/>
  <c r="H84" i="9"/>
  <c r="O84" i="9"/>
  <c r="V84" i="9"/>
  <c r="H85" i="9"/>
  <c r="O85" i="9"/>
  <c r="H86" i="9"/>
  <c r="O86" i="9"/>
  <c r="H87" i="9"/>
  <c r="O87" i="9"/>
  <c r="E88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K89" i="9"/>
  <c r="R89" i="9"/>
  <c r="Y89" i="9"/>
  <c r="AF89" i="9"/>
  <c r="K90" i="9"/>
  <c r="R90" i="9"/>
  <c r="AF90" i="9"/>
  <c r="K91" i="9"/>
  <c r="R91" i="9"/>
  <c r="Y91" i="9"/>
  <c r="K92" i="9"/>
  <c r="R92" i="9"/>
  <c r="K93" i="9"/>
  <c r="K94" i="9"/>
  <c r="AF94" i="9"/>
  <c r="K95" i="9"/>
  <c r="K96" i="9"/>
  <c r="R96" i="9"/>
  <c r="AF96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K98" i="9"/>
  <c r="R98" i="9"/>
  <c r="Y98" i="9"/>
  <c r="AF98" i="9"/>
  <c r="Y99" i="9"/>
  <c r="R100" i="9"/>
  <c r="K101" i="9"/>
  <c r="AF102" i="9"/>
  <c r="R104" i="9"/>
  <c r="AF104" i="9"/>
  <c r="R105" i="9"/>
  <c r="Y105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I107" i="9"/>
  <c r="P107" i="9"/>
  <c r="W107" i="9"/>
  <c r="W108" i="9" s="1"/>
  <c r="AD107" i="9"/>
  <c r="P108" i="9"/>
  <c r="AD108" i="9"/>
  <c r="AD109" i="9"/>
  <c r="AD110" i="9"/>
  <c r="W111" i="9"/>
  <c r="AD111" i="9"/>
  <c r="P112" i="9"/>
  <c r="W112" i="9"/>
  <c r="AD112" i="9"/>
  <c r="P113" i="9"/>
  <c r="W113" i="9"/>
  <c r="AD113" i="9"/>
  <c r="P114" i="9"/>
  <c r="W114" i="9"/>
  <c r="AD114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E116" i="9"/>
  <c r="L116" i="9"/>
  <c r="L119" i="9" s="1"/>
  <c r="S116" i="9"/>
  <c r="Z116" i="9"/>
  <c r="AG116" i="9"/>
  <c r="AG121" i="9" s="1"/>
  <c r="E117" i="9"/>
  <c r="L117" i="9"/>
  <c r="Z117" i="9"/>
  <c r="E118" i="9"/>
  <c r="L118" i="9"/>
  <c r="Z118" i="9"/>
  <c r="E119" i="9"/>
  <c r="E120" i="9"/>
  <c r="L120" i="9"/>
  <c r="E121" i="9"/>
  <c r="E122" i="9"/>
  <c r="Z122" i="9"/>
  <c r="E123" i="9"/>
  <c r="Z123" i="9"/>
  <c r="AG123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I125" i="9"/>
  <c r="P125" i="9"/>
  <c r="P127" i="9" s="1"/>
  <c r="W125" i="9"/>
  <c r="AD125" i="9"/>
  <c r="W126" i="9"/>
  <c r="AD126" i="9"/>
  <c r="W127" i="9"/>
  <c r="AD127" i="9"/>
  <c r="P128" i="9"/>
  <c r="W128" i="9"/>
  <c r="AD128" i="9"/>
  <c r="I129" i="9"/>
  <c r="P129" i="9"/>
  <c r="W129" i="9"/>
  <c r="AD129" i="9"/>
  <c r="I130" i="9"/>
  <c r="P130" i="9"/>
  <c r="W130" i="9"/>
  <c r="AD130" i="9"/>
  <c r="I131" i="9"/>
  <c r="P131" i="9"/>
  <c r="W131" i="9"/>
  <c r="AD131" i="9"/>
  <c r="I132" i="9"/>
  <c r="P132" i="9"/>
  <c r="W132" i="9"/>
  <c r="AD132" i="9"/>
  <c r="E133" i="9"/>
  <c r="F133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F134" i="9"/>
  <c r="M134" i="9"/>
  <c r="T134" i="9"/>
  <c r="AA134" i="9"/>
  <c r="AA141" i="9" s="1"/>
  <c r="AH134" i="9"/>
  <c r="F135" i="9"/>
  <c r="T135" i="9"/>
  <c r="M136" i="9"/>
  <c r="F137" i="9"/>
  <c r="F138" i="9"/>
  <c r="AH138" i="9"/>
  <c r="F139" i="9"/>
  <c r="AA139" i="9"/>
  <c r="AH139" i="9"/>
  <c r="T140" i="9"/>
  <c r="AA140" i="9"/>
  <c r="T141" i="9"/>
  <c r="E142" i="9"/>
  <c r="F142" i="9"/>
  <c r="G142" i="9"/>
  <c r="H142" i="9"/>
  <c r="I142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F143" i="9"/>
  <c r="M143" i="9"/>
  <c r="T143" i="9"/>
  <c r="AA143" i="9"/>
  <c r="AH143" i="9"/>
  <c r="AA144" i="9"/>
  <c r="F146" i="9"/>
  <c r="M146" i="9"/>
  <c r="F147" i="9"/>
  <c r="AA147" i="9"/>
  <c r="AA148" i="9"/>
  <c r="M149" i="9"/>
  <c r="AA149" i="9"/>
  <c r="F150" i="9"/>
  <c r="AA150" i="9"/>
  <c r="E151" i="9"/>
  <c r="F151" i="9"/>
  <c r="G151" i="9"/>
  <c r="H151" i="9"/>
  <c r="I151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H152" i="9"/>
  <c r="O152" i="9"/>
  <c r="V152" i="9"/>
  <c r="V154" i="9" s="1"/>
  <c r="AC152" i="9"/>
  <c r="H153" i="9"/>
  <c r="AC153" i="9"/>
  <c r="AC154" i="9"/>
  <c r="V155" i="9"/>
  <c r="AC155" i="9"/>
  <c r="O156" i="9"/>
  <c r="V156" i="9"/>
  <c r="AC156" i="9"/>
  <c r="H157" i="9"/>
  <c r="V157" i="9"/>
  <c r="AC157" i="9"/>
  <c r="H158" i="9"/>
  <c r="O158" i="9"/>
  <c r="V158" i="9"/>
  <c r="AC158" i="9"/>
  <c r="H159" i="9"/>
  <c r="O159" i="9"/>
  <c r="V159" i="9"/>
  <c r="AC159" i="9"/>
  <c r="E160" i="9"/>
  <c r="AG161" i="9" s="1"/>
  <c r="F160" i="9"/>
  <c r="G160" i="9"/>
  <c r="H160" i="9"/>
  <c r="I160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I161" i="9"/>
  <c r="I167" i="9" s="1"/>
  <c r="P161" i="9"/>
  <c r="W161" i="9"/>
  <c r="W163" i="9" s="1"/>
  <c r="AD161" i="9"/>
  <c r="AD162" i="9"/>
  <c r="AD163" i="9"/>
  <c r="W164" i="9"/>
  <c r="AD164" i="9"/>
  <c r="P165" i="9"/>
  <c r="W165" i="9"/>
  <c r="AD165" i="9"/>
  <c r="P166" i="9"/>
  <c r="W166" i="9"/>
  <c r="AD166" i="9"/>
  <c r="P167" i="9"/>
  <c r="W167" i="9"/>
  <c r="AD167" i="9"/>
  <c r="P168" i="9"/>
  <c r="W168" i="9"/>
  <c r="AD168" i="9"/>
  <c r="E169" i="9"/>
  <c r="F169" i="9"/>
  <c r="G169" i="9"/>
  <c r="H169" i="9"/>
  <c r="I169" i="9"/>
  <c r="I170" i="9" s="1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J170" i="9"/>
  <c r="Q170" i="9"/>
  <c r="X170" i="9"/>
  <c r="X172" i="9" s="1"/>
  <c r="AE170" i="9"/>
  <c r="AE171" i="9"/>
  <c r="AE172" i="9"/>
  <c r="X173" i="9"/>
  <c r="AE173" i="9"/>
  <c r="Q174" i="9"/>
  <c r="X174" i="9"/>
  <c r="AE174" i="9"/>
  <c r="Q175" i="9"/>
  <c r="X175" i="9"/>
  <c r="AE175" i="9"/>
  <c r="J176" i="9"/>
  <c r="Q176" i="9"/>
  <c r="X176" i="9"/>
  <c r="AE176" i="9"/>
  <c r="Q177" i="9"/>
  <c r="X177" i="9"/>
  <c r="AE177" i="9"/>
  <c r="E178" i="9"/>
  <c r="F178" i="9"/>
  <c r="G178" i="9"/>
  <c r="H178" i="9"/>
  <c r="I178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E179" i="9"/>
  <c r="L179" i="9"/>
  <c r="S179" i="9"/>
  <c r="Z179" i="9"/>
  <c r="AG179" i="9"/>
  <c r="AG181" i="9" s="1"/>
  <c r="E180" i="9"/>
  <c r="S180" i="9"/>
  <c r="E181" i="9"/>
  <c r="L181" i="9"/>
  <c r="E182" i="9"/>
  <c r="AG182" i="9"/>
  <c r="AG183" i="9"/>
  <c r="S184" i="9"/>
  <c r="AG184" i="9"/>
  <c r="S185" i="9"/>
  <c r="AG185" i="9"/>
  <c r="E186" i="9"/>
  <c r="L186" i="9"/>
  <c r="S186" i="9"/>
  <c r="AG186" i="9"/>
  <c r="E187" i="9"/>
  <c r="F187" i="9"/>
  <c r="G187" i="9"/>
  <c r="H187" i="9"/>
  <c r="I187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AG187" i="9"/>
  <c r="AH187" i="9"/>
  <c r="AI187" i="9"/>
  <c r="J188" i="9"/>
  <c r="J190" i="9" s="1"/>
  <c r="Q188" i="9"/>
  <c r="X188" i="9"/>
  <c r="X195" i="9" s="1"/>
  <c r="AE188" i="9"/>
  <c r="AE191" i="9" s="1"/>
  <c r="Q189" i="9"/>
  <c r="X189" i="9"/>
  <c r="AE189" i="9"/>
  <c r="Q190" i="9"/>
  <c r="X190" i="9"/>
  <c r="AE190" i="9"/>
  <c r="J191" i="9"/>
  <c r="Q191" i="9"/>
  <c r="X191" i="9"/>
  <c r="J192" i="9"/>
  <c r="Q192" i="9"/>
  <c r="X192" i="9"/>
  <c r="AE192" i="9"/>
  <c r="J193" i="9"/>
  <c r="Q193" i="9"/>
  <c r="X193" i="9"/>
  <c r="J194" i="9"/>
  <c r="Q194" i="9"/>
  <c r="X194" i="9"/>
  <c r="J195" i="9"/>
  <c r="Q195" i="9"/>
  <c r="E196" i="9"/>
  <c r="F196" i="9"/>
  <c r="G196" i="9"/>
  <c r="H196" i="9"/>
  <c r="I196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K197" i="9"/>
  <c r="K199" i="9" s="1"/>
  <c r="R197" i="9"/>
  <c r="Y197" i="9"/>
  <c r="Y204" i="9" s="1"/>
  <c r="AF197" i="9"/>
  <c r="R198" i="9"/>
  <c r="Y198" i="9"/>
  <c r="AF198" i="9"/>
  <c r="R199" i="9"/>
  <c r="Y199" i="9"/>
  <c r="AF199" i="9"/>
  <c r="K200" i="9"/>
  <c r="R200" i="9"/>
  <c r="Y200" i="9"/>
  <c r="AF200" i="9"/>
  <c r="K201" i="9"/>
  <c r="R201" i="9"/>
  <c r="Y201" i="9"/>
  <c r="AF201" i="9"/>
  <c r="K202" i="9"/>
  <c r="R202" i="9"/>
  <c r="Y202" i="9"/>
  <c r="K203" i="9"/>
  <c r="R203" i="9"/>
  <c r="Y203" i="9"/>
  <c r="K204" i="9"/>
  <c r="R204" i="9"/>
  <c r="E5" i="9"/>
  <c r="F5" i="9" s="1"/>
  <c r="G5" i="9" s="1"/>
  <c r="H5" i="9" s="1"/>
  <c r="AE143" i="9" l="1"/>
  <c r="AE145" i="9" s="1"/>
  <c r="AB170" i="9"/>
  <c r="Q62" i="9"/>
  <c r="Q64" i="9" s="1"/>
  <c r="P197" i="9"/>
  <c r="E26" i="9"/>
  <c r="E27" i="9" s="1"/>
  <c r="AA125" i="9"/>
  <c r="AA126" i="9" s="1"/>
  <c r="AI170" i="9"/>
  <c r="AI172" i="9" s="1"/>
  <c r="T170" i="9"/>
  <c r="T175" i="9" s="1"/>
  <c r="AI107" i="9"/>
  <c r="S44" i="9"/>
  <c r="AB188" i="9"/>
  <c r="AB192" i="9" s="1"/>
  <c r="AI143" i="9"/>
  <c r="AI144" i="9" s="1"/>
  <c r="V143" i="9"/>
  <c r="V145" i="9" s="1"/>
  <c r="L125" i="9"/>
  <c r="L130" i="9" s="1"/>
  <c r="W53" i="9"/>
  <c r="AB8" i="9"/>
  <c r="AB13" i="9" s="1"/>
  <c r="N53" i="9"/>
  <c r="N58" i="9" s="1"/>
  <c r="AE197" i="9"/>
  <c r="AE199" i="9" s="1"/>
  <c r="O197" i="9"/>
  <c r="O198" i="9" s="1"/>
  <c r="G188" i="9"/>
  <c r="G189" i="9" s="1"/>
  <c r="AH152" i="9"/>
  <c r="AH154" i="9" s="1"/>
  <c r="R152" i="9"/>
  <c r="R153" i="9" s="1"/>
  <c r="R155" i="9" s="1"/>
  <c r="E80" i="9"/>
  <c r="E81" i="9" s="1"/>
  <c r="L26" i="9"/>
  <c r="L31" i="9" s="1"/>
  <c r="AD197" i="9"/>
  <c r="AC197" i="9"/>
  <c r="H197" i="9"/>
  <c r="H202" i="9" s="1"/>
  <c r="V179" i="9"/>
  <c r="V181" i="9" s="1"/>
  <c r="R161" i="9"/>
  <c r="R163" i="9" s="1"/>
  <c r="AI125" i="9"/>
  <c r="AI127" i="9" s="1"/>
  <c r="S125" i="9"/>
  <c r="S127" i="9" s="1"/>
  <c r="U125" i="9"/>
  <c r="U130" i="9" s="1"/>
  <c r="K116" i="9"/>
  <c r="AC44" i="9"/>
  <c r="AC49" i="9" s="1"/>
  <c r="Z17" i="9"/>
  <c r="Z19" i="9" s="1"/>
  <c r="R62" i="9"/>
  <c r="R66" i="9" s="1"/>
  <c r="T44" i="9"/>
  <c r="T45" i="9" s="1"/>
  <c r="AC188" i="9"/>
  <c r="AC192" i="9" s="1"/>
  <c r="AA179" i="9"/>
  <c r="Y170" i="9"/>
  <c r="Y175" i="9" s="1"/>
  <c r="AB134" i="9"/>
  <c r="AB136" i="9" s="1"/>
  <c r="S143" i="9"/>
  <c r="S147" i="9" s="1"/>
  <c r="AI134" i="9"/>
  <c r="AI136" i="9" s="1"/>
  <c r="L17" i="9"/>
  <c r="L22" i="9" s="1"/>
  <c r="U170" i="9"/>
  <c r="U171" i="9" s="1"/>
  <c r="AB161" i="9"/>
  <c r="AB165" i="9" s="1"/>
  <c r="W197" i="9"/>
  <c r="G197" i="9"/>
  <c r="G198" i="9" s="1"/>
  <c r="T161" i="9"/>
  <c r="T163" i="9" s="1"/>
  <c r="Z152" i="9"/>
  <c r="Z156" i="9" s="1"/>
  <c r="AA152" i="9"/>
  <c r="AA154" i="9" s="1"/>
  <c r="AB26" i="9"/>
  <c r="AB27" i="9" s="1"/>
  <c r="S161" i="9"/>
  <c r="S163" i="9" s="1"/>
  <c r="G143" i="9"/>
  <c r="N44" i="9"/>
  <c r="N46" i="9" s="1"/>
  <c r="V26" i="9"/>
  <c r="V30" i="9" s="1"/>
  <c r="G152" i="9"/>
  <c r="G158" i="9" s="1"/>
  <c r="AH116" i="9"/>
  <c r="AH117" i="9" s="1"/>
  <c r="M107" i="9"/>
  <c r="M108" i="9" s="1"/>
  <c r="I62" i="9"/>
  <c r="I66" i="9" s="1"/>
  <c r="AI53" i="9"/>
  <c r="AI58" i="9" s="1"/>
  <c r="N26" i="9"/>
  <c r="N31" i="9" s="1"/>
  <c r="R162" i="9"/>
  <c r="U172" i="9"/>
  <c r="S45" i="9"/>
  <c r="S49" i="9"/>
  <c r="L161" i="9"/>
  <c r="L162" i="9" s="1"/>
  <c r="V161" i="9"/>
  <c r="V165" i="9" s="1"/>
  <c r="Q125" i="9"/>
  <c r="Q130" i="9" s="1"/>
  <c r="N89" i="9"/>
  <c r="N94" i="9" s="1"/>
  <c r="Z143" i="9"/>
  <c r="AB80" i="9"/>
  <c r="J44" i="9"/>
  <c r="J49" i="9" s="1"/>
  <c r="H161" i="9"/>
  <c r="H165" i="9" s="1"/>
  <c r="E44" i="9"/>
  <c r="E46" i="9" s="1"/>
  <c r="AD188" i="9"/>
  <c r="AD189" i="9" s="1"/>
  <c r="F188" i="9"/>
  <c r="F189" i="9" s="1"/>
  <c r="P170" i="9"/>
  <c r="P175" i="9" s="1"/>
  <c r="AA161" i="9"/>
  <c r="AG62" i="9"/>
  <c r="AG63" i="9" s="1"/>
  <c r="P26" i="9"/>
  <c r="P30" i="9" s="1"/>
  <c r="AH161" i="9"/>
  <c r="AH163" i="9" s="1"/>
  <c r="Z161" i="9"/>
  <c r="Z162" i="9" s="1"/>
  <c r="X161" i="9"/>
  <c r="X166" i="9" s="1"/>
  <c r="E107" i="9"/>
  <c r="E109" i="9" s="1"/>
  <c r="AB107" i="9"/>
  <c r="AB111" i="9" s="1"/>
  <c r="AE98" i="9"/>
  <c r="AH71" i="9"/>
  <c r="Z71" i="9"/>
  <c r="Z76" i="9" s="1"/>
  <c r="R71" i="9"/>
  <c r="R72" i="9" s="1"/>
  <c r="AH35" i="9"/>
  <c r="AH40" i="9" s="1"/>
  <c r="AG17" i="9"/>
  <c r="AG22" i="9" s="1"/>
  <c r="AA170" i="9"/>
  <c r="AA174" i="9" s="1"/>
  <c r="AF161" i="9"/>
  <c r="AF165" i="9" s="1"/>
  <c r="N161" i="9"/>
  <c r="N165" i="9" s="1"/>
  <c r="Z125" i="9"/>
  <c r="F89" i="9"/>
  <c r="F91" i="9" s="1"/>
  <c r="W26" i="9"/>
  <c r="W30" i="9" s="1"/>
  <c r="J143" i="9"/>
  <c r="J145" i="9" s="1"/>
  <c r="AG125" i="9"/>
  <c r="AG130" i="9" s="1"/>
  <c r="T80" i="9"/>
  <c r="T81" i="9" s="1"/>
  <c r="U143" i="9"/>
  <c r="U144" i="9" s="1"/>
  <c r="U107" i="9"/>
  <c r="V188" i="9"/>
  <c r="K161" i="9"/>
  <c r="K166" i="9" s="1"/>
  <c r="AI62" i="9"/>
  <c r="AI64" i="9" s="1"/>
  <c r="H26" i="9"/>
  <c r="H27" i="9" s="1"/>
  <c r="T188" i="9"/>
  <c r="T192" i="9" s="1"/>
  <c r="AH179" i="9"/>
  <c r="AH184" i="9" s="1"/>
  <c r="Y161" i="9"/>
  <c r="Y165" i="9" s="1"/>
  <c r="K143" i="9"/>
  <c r="AG134" i="9"/>
  <c r="Y134" i="9"/>
  <c r="Y138" i="9" s="1"/>
  <c r="Q134" i="9"/>
  <c r="Q136" i="9" s="1"/>
  <c r="K125" i="9"/>
  <c r="K127" i="9" s="1"/>
  <c r="AI116" i="9"/>
  <c r="AI117" i="9" s="1"/>
  <c r="O53" i="9"/>
  <c r="O54" i="9" s="1"/>
  <c r="F197" i="9"/>
  <c r="F199" i="9" s="1"/>
  <c r="J161" i="9"/>
  <c r="E161" i="9"/>
  <c r="AH125" i="9"/>
  <c r="AH127" i="9" s="1"/>
  <c r="AF116" i="9"/>
  <c r="AF117" i="9" s="1"/>
  <c r="AD89" i="9"/>
  <c r="AD90" i="9" s="1"/>
  <c r="V89" i="9"/>
  <c r="V94" i="9" s="1"/>
  <c r="AI26" i="9"/>
  <c r="AI31" i="9" s="1"/>
  <c r="R143" i="9"/>
  <c r="R147" i="9" s="1"/>
  <c r="Y125" i="9"/>
  <c r="AH53" i="9"/>
  <c r="AH54" i="9" s="1"/>
  <c r="AC143" i="9"/>
  <c r="AC144" i="9" s="1"/>
  <c r="AB44" i="9"/>
  <c r="AB48" i="9" s="1"/>
  <c r="N188" i="9"/>
  <c r="N192" i="9" s="1"/>
  <c r="AF170" i="9"/>
  <c r="AF174" i="9" s="1"/>
  <c r="AI161" i="9"/>
  <c r="AI166" i="9" s="1"/>
  <c r="S62" i="9"/>
  <c r="S64" i="9" s="1"/>
  <c r="X26" i="9"/>
  <c r="R44" i="9"/>
  <c r="R45" i="9" s="1"/>
  <c r="F198" i="9"/>
  <c r="AC147" i="9"/>
  <c r="AI138" i="9"/>
  <c r="T8" i="9"/>
  <c r="O202" i="9"/>
  <c r="O201" i="9"/>
  <c r="H166" i="9"/>
  <c r="AA80" i="9"/>
  <c r="Z73" i="9"/>
  <c r="AI8" i="9"/>
  <c r="O199" i="9"/>
  <c r="M188" i="9"/>
  <c r="K165" i="9"/>
  <c r="AB139" i="9"/>
  <c r="AB138" i="9"/>
  <c r="AB135" i="9"/>
  <c r="AB137" i="9" s="1"/>
  <c r="K126" i="9"/>
  <c r="K128" i="9" s="1"/>
  <c r="AH8" i="9"/>
  <c r="H199" i="9"/>
  <c r="Q179" i="9"/>
  <c r="I174" i="9"/>
  <c r="AH162" i="9"/>
  <c r="Z157" i="9"/>
  <c r="AG136" i="9"/>
  <c r="AG137" i="9" s="1"/>
  <c r="AG140" i="9" s="1"/>
  <c r="AG135" i="9"/>
  <c r="AG139" i="9"/>
  <c r="AG138" i="9"/>
  <c r="I134" i="9"/>
  <c r="J134" i="9"/>
  <c r="U134" i="9"/>
  <c r="V134" i="9"/>
  <c r="Z134" i="9"/>
  <c r="K134" i="9"/>
  <c r="H201" i="9"/>
  <c r="AB197" i="9"/>
  <c r="AI188" i="9"/>
  <c r="X179" i="9"/>
  <c r="H179" i="9"/>
  <c r="H170" i="9"/>
  <c r="M170" i="9"/>
  <c r="Z170" i="9"/>
  <c r="AC170" i="9"/>
  <c r="E170" i="9"/>
  <c r="R170" i="9"/>
  <c r="S170" i="9"/>
  <c r="Y152" i="9"/>
  <c r="AI152" i="9"/>
  <c r="J152" i="9"/>
  <c r="AH145" i="9"/>
  <c r="AH144" i="9"/>
  <c r="AH150" i="9"/>
  <c r="AH149" i="9"/>
  <c r="AH147" i="9"/>
  <c r="AH146" i="9"/>
  <c r="X134" i="9"/>
  <c r="I197" i="9"/>
  <c r="Q197" i="9"/>
  <c r="AG197" i="9"/>
  <c r="X197" i="9"/>
  <c r="AH170" i="9"/>
  <c r="F170" i="9"/>
  <c r="AG152" i="9"/>
  <c r="X152" i="9"/>
  <c r="AH148" i="9"/>
  <c r="N134" i="9"/>
  <c r="AH121" i="9"/>
  <c r="AH120" i="9"/>
  <c r="M111" i="9"/>
  <c r="M112" i="9"/>
  <c r="U108" i="9"/>
  <c r="U111" i="9"/>
  <c r="W98" i="9"/>
  <c r="O98" i="9"/>
  <c r="F98" i="9"/>
  <c r="N98" i="9"/>
  <c r="V98" i="9"/>
  <c r="AD98" i="9"/>
  <c r="G98" i="9"/>
  <c r="Q98" i="9"/>
  <c r="T98" i="9"/>
  <c r="AB98" i="9"/>
  <c r="Z98" i="9"/>
  <c r="AA98" i="9"/>
  <c r="I98" i="9"/>
  <c r="G89" i="9"/>
  <c r="AC89" i="9"/>
  <c r="U89" i="9"/>
  <c r="M89" i="9"/>
  <c r="H89" i="9"/>
  <c r="P89" i="9"/>
  <c r="I89" i="9"/>
  <c r="Z89" i="9"/>
  <c r="Q89" i="9"/>
  <c r="AE89" i="9"/>
  <c r="AH89" i="9"/>
  <c r="S89" i="9"/>
  <c r="AI89" i="9"/>
  <c r="W89" i="9"/>
  <c r="O89" i="9"/>
  <c r="X89" i="9"/>
  <c r="AA89" i="9"/>
  <c r="E89" i="9"/>
  <c r="AG89" i="9"/>
  <c r="P202" i="9"/>
  <c r="P198" i="9"/>
  <c r="Y174" i="9"/>
  <c r="AB175" i="9"/>
  <c r="AB174" i="9"/>
  <c r="AB172" i="9"/>
  <c r="I165" i="9"/>
  <c r="I164" i="9"/>
  <c r="I163" i="9"/>
  <c r="I168" i="9"/>
  <c r="I162" i="9"/>
  <c r="I166" i="9"/>
  <c r="AB10" i="9"/>
  <c r="AB11" i="9" s="1"/>
  <c r="AB193" i="9"/>
  <c r="V193" i="9"/>
  <c r="V192" i="9"/>
  <c r="V190" i="9"/>
  <c r="Z182" i="9"/>
  <c r="Z181" i="9"/>
  <c r="Z180" i="9"/>
  <c r="Z184" i="9"/>
  <c r="Z185" i="9"/>
  <c r="S8" i="9"/>
  <c r="AD202" i="9"/>
  <c r="AD201" i="9"/>
  <c r="AD198" i="9"/>
  <c r="AA188" i="9"/>
  <c r="H188" i="9"/>
  <c r="P188" i="9"/>
  <c r="AF188" i="9"/>
  <c r="W188" i="9"/>
  <c r="R179" i="9"/>
  <c r="J179" i="9"/>
  <c r="U175" i="9"/>
  <c r="G155" i="9"/>
  <c r="G154" i="9"/>
  <c r="G153" i="9"/>
  <c r="G156" i="9"/>
  <c r="G159" i="9"/>
  <c r="Z8" i="9"/>
  <c r="AC201" i="9"/>
  <c r="AC199" i="9"/>
  <c r="AC202" i="9"/>
  <c r="AC198" i="9"/>
  <c r="AE202" i="9"/>
  <c r="AE201" i="9"/>
  <c r="E188" i="9"/>
  <c r="L188" i="9"/>
  <c r="Y179" i="9"/>
  <c r="I179" i="9"/>
  <c r="AC179" i="9"/>
  <c r="F179" i="9"/>
  <c r="T179" i="9"/>
  <c r="U179" i="9"/>
  <c r="T166" i="9"/>
  <c r="T162" i="9"/>
  <c r="T164" i="9" s="1"/>
  <c r="Q138" i="9"/>
  <c r="AD199" i="9"/>
  <c r="V197" i="9"/>
  <c r="AF179" i="9"/>
  <c r="AH157" i="9"/>
  <c r="AH156" i="9"/>
  <c r="AF134" i="9"/>
  <c r="H134" i="9"/>
  <c r="U197" i="9"/>
  <c r="AI179" i="9"/>
  <c r="L170" i="9"/>
  <c r="O170" i="9"/>
  <c r="K162" i="9"/>
  <c r="Z129" i="9"/>
  <c r="Z127" i="9"/>
  <c r="Z130" i="9"/>
  <c r="Z126" i="9"/>
  <c r="AH129" i="9"/>
  <c r="T197" i="9"/>
  <c r="E197" i="9"/>
  <c r="L197" i="9"/>
  <c r="V189" i="9"/>
  <c r="Z186" i="9"/>
  <c r="Z183" i="9"/>
  <c r="L184" i="9"/>
  <c r="L183" i="9"/>
  <c r="L182" i="9"/>
  <c r="L180" i="9"/>
  <c r="L185" i="9"/>
  <c r="AG170" i="9"/>
  <c r="K170" i="9"/>
  <c r="AG165" i="9"/>
  <c r="AG163" i="9"/>
  <c r="AG166" i="9"/>
  <c r="AG162" i="9"/>
  <c r="Q152" i="9"/>
  <c r="AF152" i="9"/>
  <c r="S152" i="9"/>
  <c r="M140" i="9"/>
  <c r="M139" i="9"/>
  <c r="M138" i="9"/>
  <c r="M135" i="9"/>
  <c r="M141" i="9"/>
  <c r="M137" i="9"/>
  <c r="AG127" i="9"/>
  <c r="I108" i="9"/>
  <c r="I112" i="9"/>
  <c r="I111" i="9"/>
  <c r="I110" i="9"/>
  <c r="I109" i="9"/>
  <c r="I113" i="9"/>
  <c r="I114" i="9"/>
  <c r="P98" i="9"/>
  <c r="I172" i="9"/>
  <c r="I171" i="9"/>
  <c r="I175" i="9"/>
  <c r="S122" i="9"/>
  <c r="S121" i="9"/>
  <c r="S120" i="9"/>
  <c r="S118" i="9"/>
  <c r="S117" i="9"/>
  <c r="S119" i="9"/>
  <c r="AB85" i="9"/>
  <c r="AB84" i="9"/>
  <c r="AB81" i="9"/>
  <c r="AB82" i="9"/>
  <c r="L80" i="9"/>
  <c r="E8" i="9"/>
  <c r="L8" i="9"/>
  <c r="P199" i="9"/>
  <c r="T147" i="9"/>
  <c r="T146" i="9"/>
  <c r="T148" i="9"/>
  <c r="T145" i="9"/>
  <c r="T150" i="9"/>
  <c r="T149" i="9"/>
  <c r="T144" i="9"/>
  <c r="AI112" i="9"/>
  <c r="AI111" i="9"/>
  <c r="AI109" i="9"/>
  <c r="AI108" i="9"/>
  <c r="AD80" i="9"/>
  <c r="AA8" i="9"/>
  <c r="P201" i="9"/>
  <c r="U188" i="9"/>
  <c r="V184" i="9"/>
  <c r="V180" i="9"/>
  <c r="V183" i="9"/>
  <c r="AA157" i="9"/>
  <c r="AA153" i="9"/>
  <c r="AA155" i="9" s="1"/>
  <c r="AA158" i="9" s="1"/>
  <c r="K121" i="9"/>
  <c r="K120" i="9"/>
  <c r="K117" i="9"/>
  <c r="K118" i="9"/>
  <c r="J8" i="9"/>
  <c r="Z154" i="9"/>
  <c r="K148" i="9"/>
  <c r="K144" i="9"/>
  <c r="N197" i="9"/>
  <c r="K188" i="9"/>
  <c r="N179" i="9"/>
  <c r="P179" i="9"/>
  <c r="S162" i="9"/>
  <c r="S164" i="9" s="1"/>
  <c r="G145" i="9"/>
  <c r="P134" i="9"/>
  <c r="M197" i="9"/>
  <c r="S188" i="9"/>
  <c r="M179" i="9"/>
  <c r="AB171" i="9"/>
  <c r="W170" i="9"/>
  <c r="AE198" i="9"/>
  <c r="AE200" i="9" s="1"/>
  <c r="H198" i="9"/>
  <c r="O188" i="9"/>
  <c r="AB179" i="9"/>
  <c r="K179" i="9"/>
  <c r="AF175" i="9"/>
  <c r="J174" i="9"/>
  <c r="J173" i="9"/>
  <c r="J172" i="9"/>
  <c r="J177" i="9"/>
  <c r="J171" i="9"/>
  <c r="J175" i="9"/>
  <c r="T165" i="9"/>
  <c r="N162" i="9"/>
  <c r="N163" i="9"/>
  <c r="E162" i="9"/>
  <c r="P152" i="9"/>
  <c r="L134" i="9"/>
  <c r="S123" i="9"/>
  <c r="AF118" i="9"/>
  <c r="AF119" i="9" s="1"/>
  <c r="X116" i="9"/>
  <c r="P116" i="9"/>
  <c r="J116" i="9"/>
  <c r="H116" i="9"/>
  <c r="T107" i="9"/>
  <c r="L107" i="9"/>
  <c r="AA107" i="9"/>
  <c r="L98" i="9"/>
  <c r="AC98" i="9"/>
  <c r="U98" i="9"/>
  <c r="M98" i="9"/>
  <c r="E98" i="9"/>
  <c r="O155" i="9"/>
  <c r="O154" i="9"/>
  <c r="O153" i="9"/>
  <c r="AE116" i="9"/>
  <c r="G116" i="9"/>
  <c r="R116" i="9"/>
  <c r="Q116" i="9"/>
  <c r="AB116" i="9"/>
  <c r="K107" i="9"/>
  <c r="AG107" i="9"/>
  <c r="T89" i="9"/>
  <c r="I8" i="9"/>
  <c r="AA197" i="9"/>
  <c r="M148" i="9"/>
  <c r="M147" i="9"/>
  <c r="Q143" i="9"/>
  <c r="I116" i="9"/>
  <c r="N116" i="9"/>
  <c r="AH75" i="9"/>
  <c r="AH73" i="9"/>
  <c r="AH76" i="9"/>
  <c r="J71" i="9"/>
  <c r="Q71" i="9"/>
  <c r="AG71" i="9"/>
  <c r="S71" i="9"/>
  <c r="E71" i="9"/>
  <c r="I71" i="9"/>
  <c r="AC71" i="9"/>
  <c r="M71" i="9"/>
  <c r="N55" i="9"/>
  <c r="N54" i="9"/>
  <c r="N56" i="9"/>
  <c r="N59" i="9" s="1"/>
  <c r="N57" i="9"/>
  <c r="Z35" i="9"/>
  <c r="Z197" i="9"/>
  <c r="AH188" i="9"/>
  <c r="R188" i="9"/>
  <c r="G179" i="9"/>
  <c r="O179" i="9"/>
  <c r="W179" i="9"/>
  <c r="AE179" i="9"/>
  <c r="P164" i="9"/>
  <c r="P163" i="9"/>
  <c r="P162" i="9"/>
  <c r="W152" i="9"/>
  <c r="M144" i="9"/>
  <c r="L143" i="9"/>
  <c r="Y116" i="9"/>
  <c r="X107" i="9"/>
  <c r="Q66" i="9"/>
  <c r="Q63" i="9"/>
  <c r="AG120" i="9"/>
  <c r="AG119" i="9"/>
  <c r="AG118" i="9"/>
  <c r="AG122" i="9"/>
  <c r="O116" i="9"/>
  <c r="S107" i="9"/>
  <c r="K104" i="9"/>
  <c r="K103" i="9"/>
  <c r="K102" i="9"/>
  <c r="K100" i="9"/>
  <c r="K105" i="9"/>
  <c r="AB89" i="9"/>
  <c r="L89" i="9"/>
  <c r="Q8" i="9"/>
  <c r="S197" i="9"/>
  <c r="Q161" i="9"/>
  <c r="K152" i="9"/>
  <c r="AE144" i="9"/>
  <c r="AE146" i="9" s="1"/>
  <c r="AE149" i="9" s="1"/>
  <c r="AG143" i="9"/>
  <c r="Y143" i="9"/>
  <c r="AC134" i="9"/>
  <c r="J125" i="9"/>
  <c r="AD116" i="9"/>
  <c r="V116" i="9"/>
  <c r="R107" i="9"/>
  <c r="R76" i="9"/>
  <c r="R35" i="9"/>
  <c r="J35" i="9"/>
  <c r="L35" i="9"/>
  <c r="X35" i="9"/>
  <c r="S35" i="9"/>
  <c r="H35" i="9"/>
  <c r="Y35" i="9"/>
  <c r="AA35" i="9"/>
  <c r="I35" i="9"/>
  <c r="P35" i="9"/>
  <c r="Q35" i="9"/>
  <c r="AF35" i="9"/>
  <c r="AH197" i="9"/>
  <c r="J197" i="9"/>
  <c r="Z188" i="9"/>
  <c r="AF204" i="9"/>
  <c r="AF203" i="9"/>
  <c r="AF202" i="9"/>
  <c r="AG188" i="9"/>
  <c r="Y188" i="9"/>
  <c r="I188" i="9"/>
  <c r="AD179" i="9"/>
  <c r="S183" i="9"/>
  <c r="S182" i="9"/>
  <c r="S181" i="9"/>
  <c r="E185" i="9"/>
  <c r="E184" i="9"/>
  <c r="E183" i="9"/>
  <c r="Q173" i="9"/>
  <c r="Q172" i="9"/>
  <c r="Q171" i="9"/>
  <c r="O157" i="9"/>
  <c r="I152" i="9"/>
  <c r="AD152" i="9"/>
  <c r="N152" i="9"/>
  <c r="F152" i="9"/>
  <c r="M145" i="9"/>
  <c r="S134" i="9"/>
  <c r="AF125" i="9"/>
  <c r="X125" i="9"/>
  <c r="H125" i="9"/>
  <c r="E125" i="9"/>
  <c r="AB125" i="9"/>
  <c r="AC125" i="9"/>
  <c r="T125" i="9"/>
  <c r="AG117" i="9"/>
  <c r="AF101" i="9"/>
  <c r="AF100" i="9"/>
  <c r="AF99" i="9"/>
  <c r="AF103" i="9"/>
  <c r="AF105" i="9"/>
  <c r="AA71" i="9"/>
  <c r="Y71" i="9"/>
  <c r="AE148" i="9"/>
  <c r="AE147" i="9"/>
  <c r="S145" i="9"/>
  <c r="S148" i="9"/>
  <c r="AA138" i="9"/>
  <c r="AA137" i="9"/>
  <c r="AA136" i="9"/>
  <c r="AA135" i="9"/>
  <c r="W116" i="9"/>
  <c r="AG8" i="9"/>
  <c r="AI197" i="9"/>
  <c r="AD143" i="9"/>
  <c r="I143" i="9"/>
  <c r="R125" i="9"/>
  <c r="M116" i="9"/>
  <c r="Y107" i="9"/>
  <c r="K99" i="9"/>
  <c r="AE195" i="9"/>
  <c r="AE194" i="9"/>
  <c r="AE193" i="9"/>
  <c r="AE161" i="9"/>
  <c r="O161" i="9"/>
  <c r="G161" i="9"/>
  <c r="AE152" i="9"/>
  <c r="H156" i="9"/>
  <c r="H155" i="9"/>
  <c r="H154" i="9"/>
  <c r="U152" i="9"/>
  <c r="M152" i="9"/>
  <c r="L152" i="9"/>
  <c r="M150" i="9"/>
  <c r="W143" i="9"/>
  <c r="N143" i="9"/>
  <c r="AB143" i="9"/>
  <c r="R134" i="9"/>
  <c r="M125" i="9"/>
  <c r="AE125" i="9"/>
  <c r="O125" i="9"/>
  <c r="F125" i="9"/>
  <c r="T116" i="9"/>
  <c r="AA116" i="9"/>
  <c r="M80" i="9"/>
  <c r="AH72" i="9"/>
  <c r="J107" i="9"/>
  <c r="AI80" i="9"/>
  <c r="S80" i="9"/>
  <c r="F149" i="9"/>
  <c r="F148" i="9"/>
  <c r="H143" i="9"/>
  <c r="P143" i="9"/>
  <c r="X143" i="9"/>
  <c r="AF143" i="9"/>
  <c r="AH137" i="9"/>
  <c r="AH136" i="9"/>
  <c r="AH135" i="9"/>
  <c r="T139" i="9"/>
  <c r="T138" i="9"/>
  <c r="T137" i="9"/>
  <c r="F141" i="9"/>
  <c r="F140" i="9"/>
  <c r="G134" i="9"/>
  <c r="O134" i="9"/>
  <c r="W134" i="9"/>
  <c r="AE134" i="9"/>
  <c r="Q107" i="9"/>
  <c r="AF107" i="9"/>
  <c r="AI98" i="9"/>
  <c r="S98" i="9"/>
  <c r="AH80" i="9"/>
  <c r="Z80" i="9"/>
  <c r="R80" i="9"/>
  <c r="J80" i="9"/>
  <c r="F80" i="9"/>
  <c r="N80" i="9"/>
  <c r="AC48" i="9"/>
  <c r="AC46" i="9"/>
  <c r="AC45" i="9"/>
  <c r="J48" i="9"/>
  <c r="AH107" i="9"/>
  <c r="AD51" i="9"/>
  <c r="AD50" i="9"/>
  <c r="AD49" i="9"/>
  <c r="AD46" i="9"/>
  <c r="AD45" i="9"/>
  <c r="AD48" i="9"/>
  <c r="K198" i="9"/>
  <c r="J189" i="9"/>
  <c r="AG180" i="9"/>
  <c r="X171" i="9"/>
  <c r="G170" i="9"/>
  <c r="W162" i="9"/>
  <c r="F161" i="9"/>
  <c r="V153" i="9"/>
  <c r="E152" i="9"/>
  <c r="F144" i="9"/>
  <c r="AA146" i="9"/>
  <c r="AA145" i="9"/>
  <c r="O143" i="9"/>
  <c r="E143" i="9"/>
  <c r="AH140" i="9"/>
  <c r="AD134" i="9"/>
  <c r="E134" i="9"/>
  <c r="I128" i="9"/>
  <c r="I127" i="9"/>
  <c r="I126" i="9"/>
  <c r="AC107" i="9"/>
  <c r="P111" i="9"/>
  <c r="P110" i="9"/>
  <c r="P109" i="9"/>
  <c r="AH98" i="9"/>
  <c r="V27" i="9"/>
  <c r="Z107" i="9"/>
  <c r="Y94" i="9"/>
  <c r="Y93" i="9"/>
  <c r="Y92" i="9"/>
  <c r="Y90" i="9"/>
  <c r="Y96" i="9"/>
  <c r="Y95" i="9"/>
  <c r="K80" i="9"/>
  <c r="AG66" i="9"/>
  <c r="AG64" i="9"/>
  <c r="AG65" i="9" s="1"/>
  <c r="AG67" i="9"/>
  <c r="AD170" i="9"/>
  <c r="V170" i="9"/>
  <c r="N170" i="9"/>
  <c r="AC161" i="9"/>
  <c r="U161" i="9"/>
  <c r="M161" i="9"/>
  <c r="AB152" i="9"/>
  <c r="T152" i="9"/>
  <c r="F145" i="9"/>
  <c r="AH141" i="9"/>
  <c r="T136" i="9"/>
  <c r="F136" i="9"/>
  <c r="Z121" i="9"/>
  <c r="Z120" i="9"/>
  <c r="Z119" i="9"/>
  <c r="L123" i="9"/>
  <c r="L122" i="9"/>
  <c r="L121" i="9"/>
  <c r="O107" i="9"/>
  <c r="Y102" i="9"/>
  <c r="Y101" i="9"/>
  <c r="Y100" i="9"/>
  <c r="Y104" i="9"/>
  <c r="Y103" i="9"/>
  <c r="R64" i="9"/>
  <c r="H107" i="9"/>
  <c r="J98" i="9"/>
  <c r="AA68" i="9"/>
  <c r="AA67" i="9"/>
  <c r="AA66" i="9"/>
  <c r="AA63" i="9"/>
  <c r="AA69" i="9"/>
  <c r="AA64" i="9"/>
  <c r="AI67" i="9"/>
  <c r="AI66" i="9"/>
  <c r="K62" i="9"/>
  <c r="AG35" i="9"/>
  <c r="T35" i="9"/>
  <c r="P126" i="9"/>
  <c r="G125" i="9"/>
  <c r="F116" i="9"/>
  <c r="W109" i="9"/>
  <c r="AE107" i="9"/>
  <c r="R103" i="9"/>
  <c r="R102" i="9"/>
  <c r="R101" i="9"/>
  <c r="R99" i="9"/>
  <c r="AG98" i="9"/>
  <c r="Z62" i="9"/>
  <c r="J62" i="9"/>
  <c r="X62" i="9"/>
  <c r="H62" i="9"/>
  <c r="AB62" i="9"/>
  <c r="P62" i="9"/>
  <c r="AF62" i="9"/>
  <c r="AH58" i="9"/>
  <c r="AH57" i="9"/>
  <c r="AH55" i="9"/>
  <c r="AH56" i="9" s="1"/>
  <c r="Z53" i="9"/>
  <c r="J53" i="9"/>
  <c r="F53" i="9"/>
  <c r="AC53" i="9"/>
  <c r="G53" i="9"/>
  <c r="AD53" i="9"/>
  <c r="U53" i="9"/>
  <c r="AE53" i="9"/>
  <c r="M53" i="9"/>
  <c r="V53" i="9"/>
  <c r="E53" i="9"/>
  <c r="R48" i="9"/>
  <c r="R49" i="9"/>
  <c r="V125" i="9"/>
  <c r="N125" i="9"/>
  <c r="AC116" i="9"/>
  <c r="U116" i="9"/>
  <c r="W110" i="9"/>
  <c r="V107" i="9"/>
  <c r="N107" i="9"/>
  <c r="F107" i="9"/>
  <c r="G107" i="9"/>
  <c r="X98" i="9"/>
  <c r="H98" i="9"/>
  <c r="AB77" i="9"/>
  <c r="AB76" i="9"/>
  <c r="AB75" i="9"/>
  <c r="AB72" i="9"/>
  <c r="AB78" i="9"/>
  <c r="AF93" i="9"/>
  <c r="AF92" i="9"/>
  <c r="AF91" i="9"/>
  <c r="R95" i="9"/>
  <c r="R94" i="9"/>
  <c r="R93" i="9"/>
  <c r="AC86" i="9"/>
  <c r="AC85" i="9"/>
  <c r="AC84" i="9"/>
  <c r="AC83" i="9"/>
  <c r="AC81" i="9"/>
  <c r="AC87" i="9"/>
  <c r="T71" i="9"/>
  <c r="L71" i="9"/>
  <c r="L62" i="9"/>
  <c r="AB53" i="9"/>
  <c r="T53" i="9"/>
  <c r="L53" i="9"/>
  <c r="L44" i="9"/>
  <c r="N27" i="9"/>
  <c r="X30" i="9"/>
  <c r="H31" i="9"/>
  <c r="AF95" i="9"/>
  <c r="J89" i="9"/>
  <c r="K71" i="9"/>
  <c r="AA53" i="9"/>
  <c r="S53" i="9"/>
  <c r="AI44" i="9"/>
  <c r="AA44" i="9"/>
  <c r="K44" i="9"/>
  <c r="F44" i="9"/>
  <c r="Z44" i="9"/>
  <c r="M31" i="9"/>
  <c r="M30" i="9"/>
  <c r="M29" i="9"/>
  <c r="M28" i="9"/>
  <c r="M33" i="9"/>
  <c r="M32" i="9"/>
  <c r="T48" i="9"/>
  <c r="T46" i="9"/>
  <c r="T47" i="9" s="1"/>
  <c r="U80" i="9"/>
  <c r="G80" i="9"/>
  <c r="W80" i="9"/>
  <c r="AE80" i="9"/>
  <c r="P80" i="9"/>
  <c r="X80" i="9"/>
  <c r="AF80" i="9"/>
  <c r="S48" i="9"/>
  <c r="S46" i="9"/>
  <c r="S47" i="9" s="1"/>
  <c r="X8" i="9"/>
  <c r="P8" i="9"/>
  <c r="F8" i="9"/>
  <c r="N8" i="9"/>
  <c r="V8" i="9"/>
  <c r="AD8" i="9"/>
  <c r="O8" i="9"/>
  <c r="W8" i="9"/>
  <c r="AE8" i="9"/>
  <c r="H8" i="9"/>
  <c r="U8" i="9"/>
  <c r="M8" i="9"/>
  <c r="AC8" i="9"/>
  <c r="V87" i="9"/>
  <c r="V86" i="9"/>
  <c r="V85" i="9"/>
  <c r="AG80" i="9"/>
  <c r="Y80" i="9"/>
  <c r="Q80" i="9"/>
  <c r="I80" i="9"/>
  <c r="Y62" i="9"/>
  <c r="AB40" i="9"/>
  <c r="AB41" i="9"/>
  <c r="AB38" i="9"/>
  <c r="AB42" i="9"/>
  <c r="AB37" i="9"/>
  <c r="AI76" i="9"/>
  <c r="AI75" i="9"/>
  <c r="AI74" i="9"/>
  <c r="U78" i="9"/>
  <c r="U77" i="9"/>
  <c r="U76" i="9"/>
  <c r="AF71" i="9"/>
  <c r="X71" i="9"/>
  <c r="P71" i="9"/>
  <c r="F71" i="9"/>
  <c r="V71" i="9"/>
  <c r="AD71" i="9"/>
  <c r="O71" i="9"/>
  <c r="W71" i="9"/>
  <c r="AE71" i="9"/>
  <c r="H71" i="9"/>
  <c r="Z18" i="9"/>
  <c r="Z21" i="9"/>
  <c r="AG21" i="9"/>
  <c r="Y17" i="9"/>
  <c r="Q17" i="9"/>
  <c r="I17" i="9"/>
  <c r="J17" i="9"/>
  <c r="AD17" i="9"/>
  <c r="K17" i="9"/>
  <c r="AH17" i="9"/>
  <c r="AI77" i="9"/>
  <c r="AI73" i="9"/>
  <c r="U73" i="9"/>
  <c r="AH67" i="9"/>
  <c r="AH66" i="9"/>
  <c r="AH65" i="9"/>
  <c r="T69" i="9"/>
  <c r="T68" i="9"/>
  <c r="T67" i="9"/>
  <c r="AE62" i="9"/>
  <c r="W62" i="9"/>
  <c r="O62" i="9"/>
  <c r="E62" i="9"/>
  <c r="U62" i="9"/>
  <c r="AC62" i="9"/>
  <c r="N62" i="9"/>
  <c r="V62" i="9"/>
  <c r="AD62" i="9"/>
  <c r="G62" i="9"/>
  <c r="U44" i="9"/>
  <c r="M44" i="9"/>
  <c r="G44" i="9"/>
  <c r="O44" i="9"/>
  <c r="AE44" i="9"/>
  <c r="X44" i="9"/>
  <c r="AF44" i="9"/>
  <c r="AH44" i="9"/>
  <c r="V44" i="9"/>
  <c r="W31" i="9"/>
  <c r="W28" i="9"/>
  <c r="W27" i="9"/>
  <c r="V17" i="9"/>
  <c r="AB31" i="9"/>
  <c r="L30" i="9"/>
  <c r="R12" i="9"/>
  <c r="R11" i="9"/>
  <c r="R10" i="9"/>
  <c r="R13" i="9"/>
  <c r="R9" i="9"/>
  <c r="R14" i="9"/>
  <c r="AG44" i="9"/>
  <c r="Y44" i="9"/>
  <c r="Q44" i="9"/>
  <c r="AA29" i="9"/>
  <c r="AA28" i="9"/>
  <c r="AA33" i="9"/>
  <c r="AA32" i="9"/>
  <c r="AA31" i="9"/>
  <c r="AA30" i="9"/>
  <c r="AC17" i="9"/>
  <c r="M17" i="9"/>
  <c r="O17" i="9"/>
  <c r="W17" i="9"/>
  <c r="AE17" i="9"/>
  <c r="H17" i="9"/>
  <c r="P17" i="9"/>
  <c r="X17" i="9"/>
  <c r="AF17" i="9"/>
  <c r="AA17" i="9"/>
  <c r="E17" i="9"/>
  <c r="R17" i="9"/>
  <c r="S17" i="9"/>
  <c r="T17" i="9"/>
  <c r="F17" i="9"/>
  <c r="H53" i="9"/>
  <c r="P53" i="9"/>
  <c r="X53" i="9"/>
  <c r="I53" i="9"/>
  <c r="Q53" i="9"/>
  <c r="AG53" i="9"/>
  <c r="H44" i="9"/>
  <c r="K35" i="9"/>
  <c r="Z28" i="9"/>
  <c r="Z27" i="9"/>
  <c r="Z30" i="9"/>
  <c r="Z29" i="9"/>
  <c r="Z32" i="9" s="1"/>
  <c r="Z33" i="9" s="1"/>
  <c r="E31" i="9"/>
  <c r="E30" i="9"/>
  <c r="E28" i="9"/>
  <c r="AI40" i="9"/>
  <c r="AI39" i="9"/>
  <c r="S26" i="9"/>
  <c r="K26" i="9"/>
  <c r="U23" i="9"/>
  <c r="U22" i="9"/>
  <c r="U21" i="9"/>
  <c r="U18" i="9"/>
  <c r="R26" i="9"/>
  <c r="J26" i="9"/>
  <c r="AC26" i="9"/>
  <c r="G26" i="9"/>
  <c r="AD26" i="9"/>
  <c r="U26" i="9"/>
  <c r="AE26" i="9"/>
  <c r="U20" i="9"/>
  <c r="AE35" i="9"/>
  <c r="W35" i="9"/>
  <c r="O35" i="9"/>
  <c r="E35" i="9"/>
  <c r="M35" i="9"/>
  <c r="AC35" i="9"/>
  <c r="F35" i="9"/>
  <c r="V35" i="9"/>
  <c r="AD35" i="9"/>
  <c r="AH28" i="9"/>
  <c r="AH27" i="9"/>
  <c r="AH32" i="9"/>
  <c r="AH30" i="9"/>
  <c r="AH29" i="9"/>
  <c r="AH31" i="9"/>
  <c r="O26" i="9"/>
  <c r="AI21" i="9"/>
  <c r="AI20" i="9"/>
  <c r="AI19" i="9"/>
  <c r="AI18" i="9"/>
  <c r="Y11" i="9"/>
  <c r="Y10" i="9"/>
  <c r="Y9" i="9"/>
  <c r="K13" i="9"/>
  <c r="K12" i="9"/>
  <c r="K11" i="9"/>
  <c r="G8" i="9"/>
  <c r="T30" i="9"/>
  <c r="T29" i="9"/>
  <c r="AB22" i="9"/>
  <c r="AB21" i="9"/>
  <c r="AB20" i="9"/>
  <c r="N24" i="9"/>
  <c r="N23" i="9"/>
  <c r="N22" i="9"/>
  <c r="K10" i="9"/>
  <c r="F32" i="9"/>
  <c r="F31" i="9"/>
  <c r="AF26" i="9"/>
  <c r="I26" i="9"/>
  <c r="Q26" i="9"/>
  <c r="Y26" i="9"/>
  <c r="AG26" i="9"/>
  <c r="Y14" i="9"/>
  <c r="K14" i="9"/>
  <c r="AF9" i="9"/>
  <c r="E6" i="9"/>
  <c r="I5" i="9"/>
  <c r="H6" i="9"/>
  <c r="G6" i="9"/>
  <c r="F6" i="9"/>
  <c r="Y171" i="9" l="1"/>
  <c r="Y163" i="9"/>
  <c r="O55" i="9"/>
  <c r="O56" i="9" s="1"/>
  <c r="O59" i="9" s="1"/>
  <c r="O60" i="9" s="1"/>
  <c r="E112" i="9"/>
  <c r="AB12" i="9"/>
  <c r="AI28" i="9"/>
  <c r="G199" i="9"/>
  <c r="U173" i="9"/>
  <c r="U176" i="9" s="1"/>
  <c r="U177" i="9" s="1"/>
  <c r="Z22" i="9"/>
  <c r="T49" i="9"/>
  <c r="T50" i="9" s="1"/>
  <c r="T51" i="9" s="1"/>
  <c r="R145" i="9"/>
  <c r="V147" i="9"/>
  <c r="V150" i="9" s="1"/>
  <c r="AI171" i="9"/>
  <c r="AI173" i="9" s="1"/>
  <c r="AI176" i="9" s="1"/>
  <c r="AI177" i="9" s="1"/>
  <c r="AA156" i="9"/>
  <c r="AA171" i="9"/>
  <c r="AA127" i="9"/>
  <c r="AA128" i="9" s="1"/>
  <c r="AB189" i="9"/>
  <c r="T82" i="9"/>
  <c r="AB173" i="9"/>
  <c r="AB176" i="9" s="1"/>
  <c r="AB177" i="9" s="1"/>
  <c r="K163" i="9"/>
  <c r="L127" i="9"/>
  <c r="L128" i="9" s="1"/>
  <c r="L131" i="9" s="1"/>
  <c r="L132" i="9" s="1"/>
  <c r="AC145" i="9"/>
  <c r="AC146" i="9" s="1"/>
  <c r="AC149" i="9" s="1"/>
  <c r="AC150" i="9" s="1"/>
  <c r="G201" i="9"/>
  <c r="V28" i="9"/>
  <c r="V29" i="9" s="1"/>
  <c r="V32" i="9" s="1"/>
  <c r="V33" i="9" s="1"/>
  <c r="T171" i="9"/>
  <c r="AB9" i="9"/>
  <c r="S63" i="9"/>
  <c r="N90" i="9"/>
  <c r="T174" i="9"/>
  <c r="Y172" i="9"/>
  <c r="Y173" i="9" s="1"/>
  <c r="Y176" i="9" s="1"/>
  <c r="Y177" i="9" s="1"/>
  <c r="R144" i="9"/>
  <c r="N91" i="9"/>
  <c r="U129" i="9"/>
  <c r="AI174" i="9"/>
  <c r="AA129" i="9"/>
  <c r="G202" i="9"/>
  <c r="L28" i="9"/>
  <c r="H28" i="9"/>
  <c r="H29" i="9" s="1"/>
  <c r="H32" i="9" s="1"/>
  <c r="H33" i="9" s="1"/>
  <c r="V31" i="9"/>
  <c r="AB162" i="9"/>
  <c r="Q67" i="9"/>
  <c r="AE203" i="9"/>
  <c r="AE204" i="9" s="1"/>
  <c r="U126" i="9"/>
  <c r="AI175" i="9"/>
  <c r="AA130" i="9"/>
  <c r="AB190" i="9"/>
  <c r="AD91" i="9"/>
  <c r="AA175" i="9"/>
  <c r="R154" i="9"/>
  <c r="AB28" i="9"/>
  <c r="AF163" i="9"/>
  <c r="T172" i="9"/>
  <c r="T173" i="9" s="1"/>
  <c r="T176" i="9" s="1"/>
  <c r="F201" i="9"/>
  <c r="S66" i="9"/>
  <c r="L27" i="9"/>
  <c r="L166" i="9"/>
  <c r="T84" i="9"/>
  <c r="K119" i="9"/>
  <c r="M109" i="9"/>
  <c r="M110" i="9" s="1"/>
  <c r="M113" i="9" s="1"/>
  <c r="M114" i="9" s="1"/>
  <c r="R156" i="9"/>
  <c r="U174" i="9"/>
  <c r="AA183" i="9"/>
  <c r="AA181" i="9"/>
  <c r="AA182" i="9" s="1"/>
  <c r="AA185" i="9" s="1"/>
  <c r="AA186" i="9" s="1"/>
  <c r="AA180" i="9"/>
  <c r="AA184" i="9"/>
  <c r="W54" i="9"/>
  <c r="W57" i="9"/>
  <c r="W58" i="9"/>
  <c r="P200" i="9"/>
  <c r="P203" i="9" s="1"/>
  <c r="P204" i="9" s="1"/>
  <c r="E82" i="9"/>
  <c r="E83" i="9" s="1"/>
  <c r="N48" i="9"/>
  <c r="N49" i="9"/>
  <c r="E85" i="9"/>
  <c r="E86" i="9" s="1"/>
  <c r="E87" i="9" s="1"/>
  <c r="E84" i="9"/>
  <c r="N45" i="9"/>
  <c r="E29" i="9"/>
  <c r="E32" i="9" s="1"/>
  <c r="E33" i="9" s="1"/>
  <c r="AB29" i="9"/>
  <c r="AB32" i="9" s="1"/>
  <c r="W55" i="9"/>
  <c r="X31" i="9"/>
  <c r="X27" i="9"/>
  <c r="X28" i="9"/>
  <c r="X29" i="9" s="1"/>
  <c r="X32" i="9" s="1"/>
  <c r="X33" i="9" s="1"/>
  <c r="Y129" i="9"/>
  <c r="Y130" i="9"/>
  <c r="Y127" i="9"/>
  <c r="Y126" i="9"/>
  <c r="Y128" i="9" s="1"/>
  <c r="Y131" i="9" s="1"/>
  <c r="Y132" i="9" s="1"/>
  <c r="J166" i="9"/>
  <c r="J163" i="9"/>
  <c r="J165" i="9"/>
  <c r="J162" i="9"/>
  <c r="K147" i="9"/>
  <c r="K145" i="9"/>
  <c r="U109" i="9"/>
  <c r="U110" i="9" s="1"/>
  <c r="U112" i="9"/>
  <c r="AE100" i="9"/>
  <c r="AE99" i="9"/>
  <c r="AE101" i="9" s="1"/>
  <c r="AE103" i="9"/>
  <c r="AE102" i="9"/>
  <c r="AA162" i="9"/>
  <c r="AA163" i="9"/>
  <c r="AA166" i="9"/>
  <c r="AA165" i="9"/>
  <c r="Z147" i="9"/>
  <c r="Z145" i="9"/>
  <c r="Z146" i="9" s="1"/>
  <c r="Z149" i="9" s="1"/>
  <c r="Z150" i="9" s="1"/>
  <c r="Z148" i="9"/>
  <c r="Z144" i="9"/>
  <c r="W198" i="9"/>
  <c r="W202" i="9"/>
  <c r="W201" i="9"/>
  <c r="W199" i="9"/>
  <c r="W200" i="9" s="1"/>
  <c r="W203" i="9" s="1"/>
  <c r="W204" i="9" s="1"/>
  <c r="S126" i="9"/>
  <c r="S128" i="9"/>
  <c r="S131" i="9" s="1"/>
  <c r="S132" i="9" s="1"/>
  <c r="S130" i="9"/>
  <c r="S129" i="9"/>
  <c r="AI128" i="9"/>
  <c r="AI131" i="9" s="1"/>
  <c r="T83" i="9"/>
  <c r="V182" i="9"/>
  <c r="V185" i="9" s="1"/>
  <c r="V186" i="9" s="1"/>
  <c r="S65" i="9"/>
  <c r="F200" i="9"/>
  <c r="S67" i="9"/>
  <c r="AB163" i="9"/>
  <c r="AB164" i="9" s="1"/>
  <c r="AB167" i="9" s="1"/>
  <c r="AB168" i="9" s="1"/>
  <c r="AB191" i="9"/>
  <c r="AB194" i="9" s="1"/>
  <c r="AB195" i="9" s="1"/>
  <c r="R157" i="9"/>
  <c r="R158" i="9" s="1"/>
  <c r="R159" i="9" s="1"/>
  <c r="AB166" i="9"/>
  <c r="V148" i="9"/>
  <c r="L129" i="9"/>
  <c r="AC189" i="9"/>
  <c r="F190" i="9"/>
  <c r="F191" i="9" s="1"/>
  <c r="F194" i="9" s="1"/>
  <c r="Z20" i="9"/>
  <c r="Z23" i="9" s="1"/>
  <c r="Z24" i="9" s="1"/>
  <c r="AI57" i="9"/>
  <c r="R63" i="9"/>
  <c r="R65" i="9" s="1"/>
  <c r="R164" i="9"/>
  <c r="AI163" i="9"/>
  <c r="AH180" i="9"/>
  <c r="AH182" i="9" s="1"/>
  <c r="AH185" i="9" s="1"/>
  <c r="U145" i="9"/>
  <c r="U146" i="9" s="1"/>
  <c r="AI129" i="9"/>
  <c r="AF171" i="9"/>
  <c r="V144" i="9"/>
  <c r="V146" i="9" s="1"/>
  <c r="V149" i="9" s="1"/>
  <c r="G148" i="9"/>
  <c r="P174" i="9"/>
  <c r="AI148" i="9"/>
  <c r="AI135" i="9"/>
  <c r="AC193" i="9"/>
  <c r="F192" i="9"/>
  <c r="AH164" i="9"/>
  <c r="I67" i="9"/>
  <c r="N28" i="9"/>
  <c r="N29" i="9" s="1"/>
  <c r="N32" i="9" s="1"/>
  <c r="L126" i="9"/>
  <c r="F202" i="9"/>
  <c r="N30" i="9"/>
  <c r="S165" i="9"/>
  <c r="AH183" i="9"/>
  <c r="T85" i="9"/>
  <c r="Q129" i="9"/>
  <c r="AB30" i="9"/>
  <c r="L19" i="9"/>
  <c r="L20" i="9" s="1"/>
  <c r="L23" i="9" s="1"/>
  <c r="AB112" i="9"/>
  <c r="AC190" i="9"/>
  <c r="AC191" i="9" s="1"/>
  <c r="AC194" i="9" s="1"/>
  <c r="AC195" i="9" s="1"/>
  <c r="Q126" i="9"/>
  <c r="G192" i="9"/>
  <c r="O57" i="9"/>
  <c r="R165" i="9"/>
  <c r="AH74" i="9"/>
  <c r="AH77" i="9" s="1"/>
  <c r="AB109" i="9"/>
  <c r="K122" i="9"/>
  <c r="K123" i="9" s="1"/>
  <c r="G193" i="9"/>
  <c r="AI162" i="9"/>
  <c r="AI164" i="9" s="1"/>
  <c r="AI167" i="9" s="1"/>
  <c r="AI168" i="9" s="1"/>
  <c r="AI165" i="9"/>
  <c r="AH181" i="9"/>
  <c r="V191" i="9"/>
  <c r="V194" i="9" s="1"/>
  <c r="AH59" i="9"/>
  <c r="AI55" i="9"/>
  <c r="R67" i="9"/>
  <c r="L21" i="9"/>
  <c r="L24" i="9" s="1"/>
  <c r="I64" i="9"/>
  <c r="I65" i="9" s="1"/>
  <c r="O58" i="9"/>
  <c r="S144" i="9"/>
  <c r="S146" i="9" s="1"/>
  <c r="S149" i="9" s="1"/>
  <c r="S150" i="9" s="1"/>
  <c r="R166" i="9"/>
  <c r="R73" i="9"/>
  <c r="R146" i="9"/>
  <c r="AB108" i="9"/>
  <c r="AF166" i="9"/>
  <c r="P171" i="9"/>
  <c r="N93" i="9"/>
  <c r="AI147" i="9"/>
  <c r="U148" i="9"/>
  <c r="AH118" i="9"/>
  <c r="AH119" i="9" s="1"/>
  <c r="AH122" i="9" s="1"/>
  <c r="AH123" i="9" s="1"/>
  <c r="Q128" i="9"/>
  <c r="Q131" i="9" s="1"/>
  <c r="Q132" i="9" s="1"/>
  <c r="Z153" i="9"/>
  <c r="Z155" i="9" s="1"/>
  <c r="Z158" i="9" s="1"/>
  <c r="Z159" i="9" s="1"/>
  <c r="AA172" i="9"/>
  <c r="AA173" i="9" s="1"/>
  <c r="AA176" i="9" s="1"/>
  <c r="AI139" i="9"/>
  <c r="AD190" i="9"/>
  <c r="AD191" i="9" s="1"/>
  <c r="AD194" i="9" s="1"/>
  <c r="AD195" i="9" s="1"/>
  <c r="F193" i="9"/>
  <c r="I63" i="9"/>
  <c r="AI126" i="9"/>
  <c r="AG68" i="9"/>
  <c r="R148" i="9"/>
  <c r="R149" i="9" s="1"/>
  <c r="R150" i="9" s="1"/>
  <c r="V90" i="9"/>
  <c r="G147" i="9"/>
  <c r="S166" i="9"/>
  <c r="S167" i="9" s="1"/>
  <c r="G190" i="9"/>
  <c r="G191" i="9" s="1"/>
  <c r="G194" i="9" s="1"/>
  <c r="G195" i="9" s="1"/>
  <c r="AD200" i="9"/>
  <c r="AD203" i="9" s="1"/>
  <c r="AD204" i="9" s="1"/>
  <c r="O200" i="9"/>
  <c r="O203" i="9" s="1"/>
  <c r="O204" i="9" s="1"/>
  <c r="AI54" i="9"/>
  <c r="L18" i="9"/>
  <c r="AH153" i="9"/>
  <c r="AH155" i="9" s="1"/>
  <c r="AH158" i="9" s="1"/>
  <c r="AH159" i="9" s="1"/>
  <c r="V91" i="9"/>
  <c r="U147" i="9"/>
  <c r="Q127" i="9"/>
  <c r="AI130" i="9"/>
  <c r="AF172" i="9"/>
  <c r="AI27" i="9"/>
  <c r="AB49" i="9"/>
  <c r="AI30" i="9"/>
  <c r="S50" i="9"/>
  <c r="R75" i="9"/>
  <c r="R78" i="9" s="1"/>
  <c r="AF162" i="9"/>
  <c r="AF164" i="9" s="1"/>
  <c r="G144" i="9"/>
  <c r="G146" i="9" s="1"/>
  <c r="G149" i="9" s="1"/>
  <c r="G150" i="9" s="1"/>
  <c r="P172" i="9"/>
  <c r="P173" i="9" s="1"/>
  <c r="P176" i="9" s="1"/>
  <c r="P177" i="9" s="1"/>
  <c r="Y139" i="9"/>
  <c r="L165" i="9"/>
  <c r="L168" i="9" s="1"/>
  <c r="Z128" i="9"/>
  <c r="Z131" i="9" s="1"/>
  <c r="Z132" i="9" s="1"/>
  <c r="AI145" i="9"/>
  <c r="AI146" i="9" s="1"/>
  <c r="AI149" i="9" s="1"/>
  <c r="AI150" i="9" s="1"/>
  <c r="G157" i="9"/>
  <c r="Z75" i="9"/>
  <c r="U127" i="9"/>
  <c r="U128" i="9" s="1"/>
  <c r="U131" i="9" s="1"/>
  <c r="U132" i="9" s="1"/>
  <c r="R74" i="9"/>
  <c r="R77" i="9" s="1"/>
  <c r="I173" i="9"/>
  <c r="I176" i="9" s="1"/>
  <c r="AA177" i="9"/>
  <c r="W29" i="9"/>
  <c r="W32" i="9" s="1"/>
  <c r="W33" i="9" s="1"/>
  <c r="AI118" i="9"/>
  <c r="AI119" i="9" s="1"/>
  <c r="T189" i="9"/>
  <c r="AG18" i="9"/>
  <c r="H30" i="9"/>
  <c r="E45" i="9"/>
  <c r="E47" i="9" s="1"/>
  <c r="AH36" i="9"/>
  <c r="AC200" i="9"/>
  <c r="AC203" i="9" s="1"/>
  <c r="AC204" i="9" s="1"/>
  <c r="K129" i="9"/>
  <c r="N189" i="9"/>
  <c r="AD192" i="9"/>
  <c r="H162" i="9"/>
  <c r="AC148" i="9"/>
  <c r="T193" i="9"/>
  <c r="AD193" i="9"/>
  <c r="AB46" i="9"/>
  <c r="AB47" i="9" s="1"/>
  <c r="AB50" i="9" s="1"/>
  <c r="AB51" i="9" s="1"/>
  <c r="AH39" i="9"/>
  <c r="AF121" i="9"/>
  <c r="AF122" i="9" s="1"/>
  <c r="J148" i="9"/>
  <c r="V166" i="9"/>
  <c r="Z163" i="9"/>
  <c r="Z164" i="9" s="1"/>
  <c r="AH130" i="9"/>
  <c r="AI121" i="9"/>
  <c r="Q135" i="9"/>
  <c r="Q137" i="9" s="1"/>
  <c r="X162" i="9"/>
  <c r="AH166" i="9"/>
  <c r="H200" i="9"/>
  <c r="H203" i="9" s="1"/>
  <c r="H204" i="9" s="1"/>
  <c r="H163" i="9"/>
  <c r="N193" i="9"/>
  <c r="AI137" i="9"/>
  <c r="AI140" i="9" s="1"/>
  <c r="AI141" i="9" s="1"/>
  <c r="F94" i="9"/>
  <c r="E163" i="9"/>
  <c r="E164" i="9" s="1"/>
  <c r="E165" i="9"/>
  <c r="E166" i="9"/>
  <c r="AC47" i="9"/>
  <c r="AC50" i="9" s="1"/>
  <c r="AC51" i="9" s="1"/>
  <c r="T167" i="9"/>
  <c r="T168" i="9" s="1"/>
  <c r="AD92" i="9"/>
  <c r="AD95" i="9" s="1"/>
  <c r="K164" i="9"/>
  <c r="K167" i="9" s="1"/>
  <c r="K168" i="9" s="1"/>
  <c r="K146" i="9"/>
  <c r="K149" i="9" s="1"/>
  <c r="AB14" i="9"/>
  <c r="AB15" i="9" s="1"/>
  <c r="E48" i="9"/>
  <c r="AH37" i="9"/>
  <c r="J147" i="9"/>
  <c r="AG164" i="9"/>
  <c r="AG167" i="9" s="1"/>
  <c r="AG168" i="9" s="1"/>
  <c r="AI120" i="9"/>
  <c r="Q139" i="9"/>
  <c r="X165" i="9"/>
  <c r="AH165" i="9"/>
  <c r="K130" i="9"/>
  <c r="K131" i="9" s="1"/>
  <c r="E49" i="9"/>
  <c r="J45" i="9"/>
  <c r="L29" i="9"/>
  <c r="L32" i="9" s="1"/>
  <c r="L33" i="9" s="1"/>
  <c r="P27" i="9"/>
  <c r="AB45" i="9"/>
  <c r="R46" i="9"/>
  <c r="R47" i="9" s="1"/>
  <c r="R50" i="9" s="1"/>
  <c r="R51" i="9" s="1"/>
  <c r="AI63" i="9"/>
  <c r="AI65" i="9" s="1"/>
  <c r="AI68" i="9" s="1"/>
  <c r="AI69" i="9" s="1"/>
  <c r="J46" i="9"/>
  <c r="N60" i="9"/>
  <c r="AF120" i="9"/>
  <c r="J144" i="9"/>
  <c r="J146" i="9" s="1"/>
  <c r="V163" i="9"/>
  <c r="V93" i="9"/>
  <c r="Y135" i="9"/>
  <c r="Z165" i="9"/>
  <c r="AI110" i="9"/>
  <c r="AI113" i="9" s="1"/>
  <c r="AI114" i="9" s="1"/>
  <c r="AG129" i="9"/>
  <c r="AH126" i="9"/>
  <c r="AH128" i="9" s="1"/>
  <c r="X163" i="9"/>
  <c r="X164" i="9" s="1"/>
  <c r="X167" i="9" s="1"/>
  <c r="AD94" i="9"/>
  <c r="I177" i="9"/>
  <c r="T190" i="9"/>
  <c r="F93" i="9"/>
  <c r="N166" i="9"/>
  <c r="N164" i="9"/>
  <c r="N167" i="9" s="1"/>
  <c r="N168" i="9" s="1"/>
  <c r="N33" i="9"/>
  <c r="AB83" i="9"/>
  <c r="AB86" i="9" s="1"/>
  <c r="AB87" i="9" s="1"/>
  <c r="Q65" i="9"/>
  <c r="N190" i="9"/>
  <c r="AG19" i="9"/>
  <c r="AG20" i="9" s="1"/>
  <c r="AG23" i="9" s="1"/>
  <c r="AG24" i="9" s="1"/>
  <c r="V96" i="9"/>
  <c r="P28" i="9"/>
  <c r="P31" i="9"/>
  <c r="N47" i="9"/>
  <c r="V162" i="9"/>
  <c r="V92" i="9"/>
  <c r="V95" i="9" s="1"/>
  <c r="Y136" i="9"/>
  <c r="Z166" i="9"/>
  <c r="AG126" i="9"/>
  <c r="AG128" i="9" s="1"/>
  <c r="AG131" i="9" s="1"/>
  <c r="L163" i="9"/>
  <c r="L164" i="9" s="1"/>
  <c r="L167" i="9" s="1"/>
  <c r="AD93" i="9"/>
  <c r="Z72" i="9"/>
  <c r="Z74" i="9" s="1"/>
  <c r="Z77" i="9" s="1"/>
  <c r="F90" i="9"/>
  <c r="F92" i="9" s="1"/>
  <c r="F95" i="9" s="1"/>
  <c r="Y166" i="9"/>
  <c r="Y162" i="9"/>
  <c r="AB140" i="9"/>
  <c r="AB141" i="9" s="1"/>
  <c r="G200" i="9"/>
  <c r="G203" i="9" s="1"/>
  <c r="G204" i="9" s="1"/>
  <c r="E111" i="9"/>
  <c r="E108" i="9"/>
  <c r="E110" i="9" s="1"/>
  <c r="AH78" i="9"/>
  <c r="AA159" i="9"/>
  <c r="AG141" i="9"/>
  <c r="AB33" i="9"/>
  <c r="AI132" i="9"/>
  <c r="N85" i="9"/>
  <c r="N81" i="9"/>
  <c r="N84" i="9"/>
  <c r="N82" i="9"/>
  <c r="N83" i="9" s="1"/>
  <c r="N86" i="9" s="1"/>
  <c r="N87" i="9" s="1"/>
  <c r="P145" i="9"/>
  <c r="P144" i="9"/>
  <c r="P147" i="9"/>
  <c r="P148" i="9"/>
  <c r="AI84" i="9"/>
  <c r="AI82" i="9"/>
  <c r="AI83" i="9" s="1"/>
  <c r="AI81" i="9"/>
  <c r="AI85" i="9"/>
  <c r="M85" i="9"/>
  <c r="M84" i="9"/>
  <c r="M81" i="9"/>
  <c r="M82" i="9"/>
  <c r="AB147" i="9"/>
  <c r="AB145" i="9"/>
  <c r="AB144" i="9"/>
  <c r="AB148" i="9"/>
  <c r="AD148" i="9"/>
  <c r="AD147" i="9"/>
  <c r="AD145" i="9"/>
  <c r="AD144" i="9"/>
  <c r="N154" i="9"/>
  <c r="N153" i="9"/>
  <c r="N157" i="9"/>
  <c r="N155" i="9"/>
  <c r="N158" i="9" s="1"/>
  <c r="N156" i="9"/>
  <c r="Q39" i="9"/>
  <c r="Q37" i="9"/>
  <c r="Q36" i="9"/>
  <c r="Q40" i="9"/>
  <c r="Y120" i="9"/>
  <c r="Y118" i="9"/>
  <c r="Y121" i="9"/>
  <c r="Y117" i="9"/>
  <c r="E76" i="9"/>
  <c r="E72" i="9"/>
  <c r="E73" i="9"/>
  <c r="E75" i="9"/>
  <c r="I10" i="9"/>
  <c r="I9" i="9"/>
  <c r="I12" i="9"/>
  <c r="I13" i="9"/>
  <c r="P118" i="9"/>
  <c r="P117" i="9"/>
  <c r="P120" i="9"/>
  <c r="P121" i="9"/>
  <c r="AF156" i="9"/>
  <c r="AF154" i="9"/>
  <c r="AF155" i="9" s="1"/>
  <c r="AF158" i="9" s="1"/>
  <c r="AF159" i="9" s="1"/>
  <c r="AF157" i="9"/>
  <c r="AF153" i="9"/>
  <c r="AH94" i="9"/>
  <c r="AH93" i="9"/>
  <c r="AH90" i="9"/>
  <c r="AH91" i="9"/>
  <c r="AH92" i="9" s="1"/>
  <c r="T103" i="9"/>
  <c r="T99" i="9"/>
  <c r="T100" i="9"/>
  <c r="T102" i="9"/>
  <c r="E37" i="9"/>
  <c r="E38" i="9" s="1"/>
  <c r="E40" i="9"/>
  <c r="E36" i="9"/>
  <c r="E39" i="9"/>
  <c r="K28" i="9"/>
  <c r="K30" i="9"/>
  <c r="K27" i="9"/>
  <c r="K31" i="9"/>
  <c r="T22" i="9"/>
  <c r="T21" i="9"/>
  <c r="T19" i="9"/>
  <c r="T18" i="9"/>
  <c r="H18" i="9"/>
  <c r="H21" i="9"/>
  <c r="H22" i="9"/>
  <c r="H19" i="9"/>
  <c r="M165" i="9"/>
  <c r="M163" i="9"/>
  <c r="M166" i="9"/>
  <c r="M162" i="9"/>
  <c r="Z112" i="9"/>
  <c r="Z111" i="9"/>
  <c r="Z109" i="9"/>
  <c r="Z108" i="9"/>
  <c r="F85" i="9"/>
  <c r="F82" i="9"/>
  <c r="F81" i="9"/>
  <c r="F84" i="9"/>
  <c r="J108" i="9"/>
  <c r="J112" i="9"/>
  <c r="J111" i="9"/>
  <c r="J109" i="9"/>
  <c r="N148" i="9"/>
  <c r="N144" i="9"/>
  <c r="N145" i="9"/>
  <c r="N147" i="9"/>
  <c r="AD154" i="9"/>
  <c r="AD153" i="9"/>
  <c r="AD159" i="9"/>
  <c r="AD155" i="9"/>
  <c r="AD157" i="9"/>
  <c r="AD156" i="9"/>
  <c r="AD158" i="9"/>
  <c r="P37" i="9"/>
  <c r="P36" i="9"/>
  <c r="P40" i="9"/>
  <c r="P39" i="9"/>
  <c r="L147" i="9"/>
  <c r="L145" i="9"/>
  <c r="L144" i="9"/>
  <c r="L148" i="9"/>
  <c r="X118" i="9"/>
  <c r="X117" i="9"/>
  <c r="X121" i="9"/>
  <c r="X120" i="9"/>
  <c r="P191" i="9"/>
  <c r="P194" i="9" s="1"/>
  <c r="P195" i="9" s="1"/>
  <c r="P189" i="9"/>
  <c r="P190" i="9"/>
  <c r="P192" i="9"/>
  <c r="P193" i="9"/>
  <c r="S13" i="9"/>
  <c r="S12" i="9"/>
  <c r="S9" i="9"/>
  <c r="S10" i="9"/>
  <c r="S11" i="9" s="1"/>
  <c r="AE91" i="9"/>
  <c r="AE92" i="9" s="1"/>
  <c r="AE95" i="9" s="1"/>
  <c r="AE90" i="9"/>
  <c r="AE94" i="9"/>
  <c r="AE93" i="9"/>
  <c r="AA84" i="9"/>
  <c r="AA82" i="9"/>
  <c r="AA81" i="9"/>
  <c r="AA85" i="9"/>
  <c r="AG27" i="9"/>
  <c r="AG30" i="9"/>
  <c r="AG31" i="9"/>
  <c r="AG28" i="9"/>
  <c r="AC31" i="9"/>
  <c r="AC30" i="9"/>
  <c r="AC28" i="9"/>
  <c r="AC27" i="9"/>
  <c r="S21" i="9"/>
  <c r="S19" i="9"/>
  <c r="S22" i="9"/>
  <c r="S18" i="9"/>
  <c r="V22" i="9"/>
  <c r="V18" i="9"/>
  <c r="V21" i="9"/>
  <c r="V19" i="9"/>
  <c r="V63" i="9"/>
  <c r="V64" i="9"/>
  <c r="V65" i="9" s="1"/>
  <c r="V67" i="9"/>
  <c r="V66" i="9"/>
  <c r="AD13" i="9"/>
  <c r="AD12" i="9"/>
  <c r="AD9" i="9"/>
  <c r="AD10" i="9"/>
  <c r="AD11" i="9" s="1"/>
  <c r="AD14" i="9" s="1"/>
  <c r="J82" i="9"/>
  <c r="J81" i="9"/>
  <c r="J84" i="9"/>
  <c r="J85" i="9"/>
  <c r="AE136" i="9"/>
  <c r="AE138" i="9"/>
  <c r="AE135" i="9"/>
  <c r="AE139" i="9"/>
  <c r="W148" i="9"/>
  <c r="W147" i="9"/>
  <c r="W144" i="9"/>
  <c r="W145" i="9"/>
  <c r="W146" i="9" s="1"/>
  <c r="W149" i="9" s="1"/>
  <c r="W150" i="9" s="1"/>
  <c r="W118" i="9"/>
  <c r="W117" i="9"/>
  <c r="W119" i="9"/>
  <c r="W120" i="9"/>
  <c r="W121" i="9"/>
  <c r="I157" i="9"/>
  <c r="I156" i="9"/>
  <c r="I154" i="9"/>
  <c r="I153" i="9"/>
  <c r="R40" i="9"/>
  <c r="R39" i="9"/>
  <c r="R37" i="9"/>
  <c r="R36" i="9"/>
  <c r="K157" i="9"/>
  <c r="K153" i="9"/>
  <c r="K156" i="9"/>
  <c r="K154" i="9"/>
  <c r="K155" i="9"/>
  <c r="K158" i="9" s="1"/>
  <c r="N117" i="9"/>
  <c r="N118" i="9"/>
  <c r="N121" i="9"/>
  <c r="N120" i="9"/>
  <c r="T108" i="9"/>
  <c r="T109" i="9"/>
  <c r="T112" i="9"/>
  <c r="T111" i="9"/>
  <c r="V195" i="9"/>
  <c r="G91" i="9"/>
  <c r="G90" i="9"/>
  <c r="G93" i="9"/>
  <c r="G94" i="9"/>
  <c r="N135" i="9"/>
  <c r="N139" i="9"/>
  <c r="N136" i="9"/>
  <c r="N137" i="9" s="1"/>
  <c r="N138" i="9"/>
  <c r="X135" i="9"/>
  <c r="X139" i="9"/>
  <c r="X136" i="9"/>
  <c r="X138" i="9"/>
  <c r="Q54" i="9"/>
  <c r="Q58" i="9"/>
  <c r="Q57" i="9"/>
  <c r="Q55" i="9"/>
  <c r="Q56" i="9" s="1"/>
  <c r="Q59" i="9" s="1"/>
  <c r="N63" i="9"/>
  <c r="N66" i="9"/>
  <c r="N64" i="9"/>
  <c r="N67" i="9"/>
  <c r="Y66" i="9"/>
  <c r="Y64" i="9"/>
  <c r="Y67" i="9"/>
  <c r="Y63" i="9"/>
  <c r="F129" i="9"/>
  <c r="F127" i="9"/>
  <c r="F128" i="9" s="1"/>
  <c r="F130" i="9"/>
  <c r="F126" i="9"/>
  <c r="O193" i="9"/>
  <c r="O189" i="9"/>
  <c r="O192" i="9"/>
  <c r="O190" i="9"/>
  <c r="E13" i="9"/>
  <c r="E12" i="9"/>
  <c r="E10" i="9"/>
  <c r="E9" i="9"/>
  <c r="AA190" i="9"/>
  <c r="AA189" i="9"/>
  <c r="AA193" i="9"/>
  <c r="AA192" i="9"/>
  <c r="AI157" i="9"/>
  <c r="AI153" i="9"/>
  <c r="AI156" i="9"/>
  <c r="AI154" i="9"/>
  <c r="AI155" i="9"/>
  <c r="AI158" i="9" s="1"/>
  <c r="AI159" i="9" s="1"/>
  <c r="R174" i="9"/>
  <c r="R172" i="9"/>
  <c r="R171" i="9"/>
  <c r="R175" i="9"/>
  <c r="Z136" i="9"/>
  <c r="Z135" i="9"/>
  <c r="Z139" i="9"/>
  <c r="Z138" i="9"/>
  <c r="Q27" i="9"/>
  <c r="Q28" i="9"/>
  <c r="Q29" i="9" s="1"/>
  <c r="Q31" i="9"/>
  <c r="Q30" i="9"/>
  <c r="AE37" i="9"/>
  <c r="AE36" i="9"/>
  <c r="AE39" i="9"/>
  <c r="AE38" i="9"/>
  <c r="AE40" i="9"/>
  <c r="I54" i="9"/>
  <c r="I58" i="9"/>
  <c r="I57" i="9"/>
  <c r="I55" i="9"/>
  <c r="M13" i="9"/>
  <c r="M9" i="9"/>
  <c r="M12" i="9"/>
  <c r="M10" i="9"/>
  <c r="AD55" i="9"/>
  <c r="AD54" i="9"/>
  <c r="AD58" i="9"/>
  <c r="AD57" i="9"/>
  <c r="J67" i="9"/>
  <c r="J66" i="9"/>
  <c r="J64" i="9"/>
  <c r="J63" i="9"/>
  <c r="O108" i="9"/>
  <c r="O109" i="9"/>
  <c r="O110" i="9" s="1"/>
  <c r="O113" i="9" s="1"/>
  <c r="O112" i="9"/>
  <c r="O111" i="9"/>
  <c r="O126" i="9"/>
  <c r="O127" i="9"/>
  <c r="O128" i="9" s="1"/>
  <c r="O131" i="9" s="1"/>
  <c r="O130" i="9"/>
  <c r="O129" i="9"/>
  <c r="Y112" i="9"/>
  <c r="Y111" i="9"/>
  <c r="Y109" i="9"/>
  <c r="Y108" i="9"/>
  <c r="Y73" i="9"/>
  <c r="Y72" i="9"/>
  <c r="Y75" i="9"/>
  <c r="Y76" i="9"/>
  <c r="S138" i="9"/>
  <c r="S136" i="9"/>
  <c r="S139" i="9"/>
  <c r="S135" i="9"/>
  <c r="Y39" i="9"/>
  <c r="Y37" i="9"/>
  <c r="Y36" i="9"/>
  <c r="Y40" i="9"/>
  <c r="AD117" i="9"/>
  <c r="AD120" i="9"/>
  <c r="AD118" i="9"/>
  <c r="AD121" i="9"/>
  <c r="AF180" i="9"/>
  <c r="AF183" i="9"/>
  <c r="AF181" i="9"/>
  <c r="AF182" i="9" s="1"/>
  <c r="AF184" i="9"/>
  <c r="AC184" i="9"/>
  <c r="AC183" i="9"/>
  <c r="AC180" i="9"/>
  <c r="AC181" i="9"/>
  <c r="V139" i="9"/>
  <c r="V138" i="9"/>
  <c r="V136" i="9"/>
  <c r="V135" i="9"/>
  <c r="AH12" i="9"/>
  <c r="AH10" i="9"/>
  <c r="AH11" i="9" s="1"/>
  <c r="AH14" i="9" s="1"/>
  <c r="AH13" i="9"/>
  <c r="AH9" i="9"/>
  <c r="I27" i="9"/>
  <c r="I28" i="9"/>
  <c r="I29" i="9" s="1"/>
  <c r="I30" i="9"/>
  <c r="I31" i="9"/>
  <c r="O31" i="9"/>
  <c r="O30" i="9"/>
  <c r="O27" i="9"/>
  <c r="O28" i="9"/>
  <c r="V36" i="9"/>
  <c r="V39" i="9"/>
  <c r="V40" i="9"/>
  <c r="V37" i="9"/>
  <c r="V38" i="9" s="1"/>
  <c r="X57" i="9"/>
  <c r="X55" i="9"/>
  <c r="X54" i="9"/>
  <c r="X58" i="9"/>
  <c r="AA21" i="9"/>
  <c r="AA19" i="9"/>
  <c r="AA22" i="9"/>
  <c r="AA18" i="9"/>
  <c r="M22" i="9"/>
  <c r="M21" i="9"/>
  <c r="M19" i="9"/>
  <c r="M18" i="9"/>
  <c r="Q46" i="9"/>
  <c r="Q45" i="9"/>
  <c r="Q49" i="9"/>
  <c r="Q48" i="9"/>
  <c r="G48" i="9"/>
  <c r="G46" i="9"/>
  <c r="G49" i="9"/>
  <c r="G45" i="9"/>
  <c r="U64" i="9"/>
  <c r="U67" i="9"/>
  <c r="U63" i="9"/>
  <c r="U66" i="9"/>
  <c r="AD22" i="9"/>
  <c r="AD19" i="9"/>
  <c r="AD21" i="9"/>
  <c r="AD18" i="9"/>
  <c r="P73" i="9"/>
  <c r="P74" i="9" s="1"/>
  <c r="P72" i="9"/>
  <c r="P75" i="9"/>
  <c r="P76" i="9"/>
  <c r="Q82" i="9"/>
  <c r="Q81" i="9"/>
  <c r="Q85" i="9"/>
  <c r="Q83" i="9"/>
  <c r="Q86" i="9" s="1"/>
  <c r="Q84" i="9"/>
  <c r="U13" i="9"/>
  <c r="U10" i="9"/>
  <c r="U9" i="9"/>
  <c r="U12" i="9"/>
  <c r="F13" i="9"/>
  <c r="F11" i="9"/>
  <c r="F14" i="9" s="1"/>
  <c r="F15" i="9" s="1"/>
  <c r="F12" i="9"/>
  <c r="F10" i="9"/>
  <c r="F9" i="9"/>
  <c r="AF81" i="9"/>
  <c r="AF82" i="9"/>
  <c r="AF83" i="9" s="1"/>
  <c r="AF85" i="9"/>
  <c r="AF86" i="9"/>
  <c r="AF84" i="9"/>
  <c r="AI48" i="9"/>
  <c r="AI46" i="9"/>
  <c r="AI49" i="9"/>
  <c r="AI45" i="9"/>
  <c r="U117" i="9"/>
  <c r="U120" i="9"/>
  <c r="U121" i="9"/>
  <c r="U118" i="9"/>
  <c r="G55" i="9"/>
  <c r="G57" i="9"/>
  <c r="G54" i="9"/>
  <c r="G58" i="9"/>
  <c r="Z67" i="9"/>
  <c r="Z66" i="9"/>
  <c r="Z64" i="9"/>
  <c r="Z63" i="9"/>
  <c r="F117" i="9"/>
  <c r="F120" i="9"/>
  <c r="F118" i="9"/>
  <c r="F121" i="9"/>
  <c r="V175" i="9"/>
  <c r="V171" i="9"/>
  <c r="V174" i="9"/>
  <c r="V172" i="9"/>
  <c r="E148" i="9"/>
  <c r="E147" i="9"/>
  <c r="E144" i="9"/>
  <c r="E149" i="9"/>
  <c r="E150" i="9"/>
  <c r="E146" i="9"/>
  <c r="E145" i="9"/>
  <c r="AH82" i="9"/>
  <c r="AH81" i="9"/>
  <c r="AH84" i="9"/>
  <c r="AH85" i="9"/>
  <c r="G136" i="9"/>
  <c r="G139" i="9"/>
  <c r="G135" i="9"/>
  <c r="G138" i="9"/>
  <c r="AE126" i="9"/>
  <c r="AE129" i="9"/>
  <c r="AE127" i="9"/>
  <c r="AE130" i="9"/>
  <c r="L153" i="9"/>
  <c r="L156" i="9"/>
  <c r="L154" i="9"/>
  <c r="L157" i="9"/>
  <c r="O163" i="9"/>
  <c r="O162" i="9"/>
  <c r="O165" i="9"/>
  <c r="O166" i="9"/>
  <c r="M121" i="9"/>
  <c r="M117" i="9"/>
  <c r="M118" i="9"/>
  <c r="M120" i="9"/>
  <c r="AA76" i="9"/>
  <c r="AA75" i="9"/>
  <c r="AA72" i="9"/>
  <c r="AA73" i="9"/>
  <c r="AC132" i="9"/>
  <c r="AC131" i="9"/>
  <c r="AC130" i="9"/>
  <c r="AC127" i="9"/>
  <c r="AC128" i="9"/>
  <c r="AC129" i="9"/>
  <c r="AC126" i="9"/>
  <c r="AD184" i="9"/>
  <c r="AD181" i="9"/>
  <c r="AD183" i="9"/>
  <c r="AD180" i="9"/>
  <c r="J198" i="9"/>
  <c r="J199" i="9"/>
  <c r="J201" i="9"/>
  <c r="J202" i="9"/>
  <c r="H37" i="9"/>
  <c r="H36" i="9"/>
  <c r="H39" i="9"/>
  <c r="H40" i="9"/>
  <c r="J129" i="9"/>
  <c r="J127" i="9"/>
  <c r="J126" i="9"/>
  <c r="J130" i="9"/>
  <c r="Q10" i="9"/>
  <c r="Q9" i="9"/>
  <c r="Q13" i="9"/>
  <c r="Q12" i="9"/>
  <c r="S108" i="9"/>
  <c r="S112" i="9"/>
  <c r="S111" i="9"/>
  <c r="S109" i="9"/>
  <c r="AH190" i="9"/>
  <c r="AH191" i="9" s="1"/>
  <c r="AH194" i="9" s="1"/>
  <c r="AH195" i="9" s="1"/>
  <c r="AH189" i="9"/>
  <c r="AH192" i="9"/>
  <c r="AH193" i="9"/>
  <c r="M76" i="9"/>
  <c r="M72" i="9"/>
  <c r="M75" i="9"/>
  <c r="M73" i="9"/>
  <c r="Q120" i="9"/>
  <c r="Q118" i="9"/>
  <c r="Q121" i="9"/>
  <c r="Q117" i="9"/>
  <c r="U99" i="9"/>
  <c r="U102" i="9"/>
  <c r="U100" i="9"/>
  <c r="U103" i="9"/>
  <c r="P156" i="9"/>
  <c r="P154" i="9"/>
  <c r="P155" i="9" s="1"/>
  <c r="P158" i="9" s="1"/>
  <c r="P153" i="9"/>
  <c r="P157" i="9"/>
  <c r="S190" i="9"/>
  <c r="S189" i="9"/>
  <c r="S193" i="9"/>
  <c r="S192" i="9"/>
  <c r="N202" i="9"/>
  <c r="N201" i="9"/>
  <c r="N198" i="9"/>
  <c r="N199" i="9"/>
  <c r="AD85" i="9"/>
  <c r="AD81" i="9"/>
  <c r="AD82" i="9"/>
  <c r="AD84" i="9"/>
  <c r="T199" i="9"/>
  <c r="T200" i="9" s="1"/>
  <c r="T198" i="9"/>
  <c r="T201" i="9"/>
  <c r="T202" i="9"/>
  <c r="T203" i="9"/>
  <c r="T204" i="9" s="1"/>
  <c r="H135" i="9"/>
  <c r="H138" i="9"/>
  <c r="H136" i="9"/>
  <c r="H139" i="9"/>
  <c r="I181" i="9"/>
  <c r="I180" i="9"/>
  <c r="I183" i="9"/>
  <c r="I184" i="9"/>
  <c r="Z12" i="9"/>
  <c r="Z15" i="9" s="1"/>
  <c r="Z11" i="9"/>
  <c r="Z14" i="9" s="1"/>
  <c r="Z10" i="9"/>
  <c r="Z9" i="9"/>
  <c r="Z13" i="9"/>
  <c r="W91" i="9"/>
  <c r="W90" i="9"/>
  <c r="W94" i="9"/>
  <c r="W93" i="9"/>
  <c r="P93" i="9"/>
  <c r="P91" i="9"/>
  <c r="P94" i="9"/>
  <c r="P90" i="9"/>
  <c r="AA103" i="9"/>
  <c r="AA102" i="9"/>
  <c r="AA99" i="9"/>
  <c r="AA100" i="9"/>
  <c r="AA101" i="9" s="1"/>
  <c r="AA104" i="9" s="1"/>
  <c r="AA105" i="9" s="1"/>
  <c r="N99" i="9"/>
  <c r="N102" i="9"/>
  <c r="N103" i="9"/>
  <c r="N100" i="9"/>
  <c r="I201" i="9"/>
  <c r="I202" i="9"/>
  <c r="I199" i="9"/>
  <c r="I198" i="9"/>
  <c r="AC175" i="9"/>
  <c r="AC174" i="9"/>
  <c r="AC172" i="9"/>
  <c r="AC171" i="9"/>
  <c r="H180" i="9"/>
  <c r="H183" i="9"/>
  <c r="H181" i="9"/>
  <c r="H184" i="9"/>
  <c r="U139" i="9"/>
  <c r="U138" i="9"/>
  <c r="U136" i="9"/>
  <c r="U137" i="9" s="1"/>
  <c r="U135" i="9"/>
  <c r="M36" i="9"/>
  <c r="M39" i="9"/>
  <c r="M40" i="9"/>
  <c r="M37" i="9"/>
  <c r="AD27" i="9"/>
  <c r="AD30" i="9"/>
  <c r="AD31" i="9"/>
  <c r="AD28" i="9"/>
  <c r="K40" i="9"/>
  <c r="K39" i="9"/>
  <c r="K37" i="9"/>
  <c r="K36" i="9"/>
  <c r="F22" i="9"/>
  <c r="F21" i="9"/>
  <c r="F19" i="9"/>
  <c r="F18" i="9"/>
  <c r="P18" i="9"/>
  <c r="P19" i="9"/>
  <c r="P22" i="9"/>
  <c r="P21" i="9"/>
  <c r="AH46" i="9"/>
  <c r="AH45" i="9"/>
  <c r="AH48" i="9"/>
  <c r="AH49" i="9"/>
  <c r="G64" i="9"/>
  <c r="G63" i="9"/>
  <c r="G67" i="9"/>
  <c r="G66" i="9"/>
  <c r="W64" i="9"/>
  <c r="W63" i="9"/>
  <c r="W66" i="9"/>
  <c r="W67" i="9"/>
  <c r="Q19" i="9"/>
  <c r="Q18" i="9"/>
  <c r="Q21" i="9"/>
  <c r="Q22" i="9"/>
  <c r="W72" i="9"/>
  <c r="W75" i="9"/>
  <c r="W73" i="9"/>
  <c r="W76" i="9"/>
  <c r="W9" i="9"/>
  <c r="W12" i="9"/>
  <c r="W10" i="9"/>
  <c r="W13" i="9"/>
  <c r="AE85" i="9"/>
  <c r="AE82" i="9"/>
  <c r="AE83" i="9" s="1"/>
  <c r="AE86" i="9" s="1"/>
  <c r="AE84" i="9"/>
  <c r="AE81" i="9"/>
  <c r="T58" i="9"/>
  <c r="T57" i="9"/>
  <c r="T55" i="9"/>
  <c r="T54" i="9"/>
  <c r="T56" i="9" s="1"/>
  <c r="G108" i="9"/>
  <c r="G109" i="9"/>
  <c r="G110" i="9" s="1"/>
  <c r="G111" i="9"/>
  <c r="G112" i="9"/>
  <c r="V55" i="9"/>
  <c r="V54" i="9"/>
  <c r="V58" i="9"/>
  <c r="V57" i="9"/>
  <c r="J54" i="9"/>
  <c r="J58" i="9"/>
  <c r="J57" i="9"/>
  <c r="J55" i="9"/>
  <c r="P64" i="9"/>
  <c r="P63" i="9"/>
  <c r="P67" i="9"/>
  <c r="P66" i="9"/>
  <c r="T40" i="9"/>
  <c r="T39" i="9"/>
  <c r="T37" i="9"/>
  <c r="T36" i="9"/>
  <c r="K67" i="9"/>
  <c r="K66" i="9"/>
  <c r="K64" i="9"/>
  <c r="K63" i="9"/>
  <c r="AB157" i="9"/>
  <c r="AB153" i="9"/>
  <c r="AB155" i="9"/>
  <c r="AB158" i="9" s="1"/>
  <c r="AB154" i="9"/>
  <c r="AB156" i="9"/>
  <c r="AF111" i="9"/>
  <c r="AF109" i="9"/>
  <c r="AF108" i="9"/>
  <c r="AF112" i="9"/>
  <c r="H127" i="9"/>
  <c r="H126" i="9"/>
  <c r="H129" i="9"/>
  <c r="H130" i="9"/>
  <c r="AG189" i="9"/>
  <c r="AG190" i="9"/>
  <c r="AG191" i="9" s="1"/>
  <c r="AG193" i="9"/>
  <c r="AG192" i="9"/>
  <c r="L40" i="9"/>
  <c r="L36" i="9"/>
  <c r="L37" i="9"/>
  <c r="L39" i="9"/>
  <c r="AG144" i="9"/>
  <c r="AG148" i="9"/>
  <c r="AG145" i="9"/>
  <c r="AG147" i="9"/>
  <c r="AE181" i="9"/>
  <c r="AE184" i="9"/>
  <c r="AE180" i="9"/>
  <c r="AE183" i="9"/>
  <c r="AE118" i="9"/>
  <c r="AE117" i="9"/>
  <c r="AE120" i="9"/>
  <c r="AE121" i="9"/>
  <c r="AA112" i="9"/>
  <c r="AA108" i="9"/>
  <c r="AA111" i="9"/>
  <c r="AA109" i="9"/>
  <c r="K175" i="9"/>
  <c r="K174" i="9"/>
  <c r="K171" i="9"/>
  <c r="K172" i="9"/>
  <c r="U90" i="9"/>
  <c r="U93" i="9"/>
  <c r="U91" i="9"/>
  <c r="U94" i="9"/>
  <c r="W100" i="9"/>
  <c r="W99" i="9"/>
  <c r="W101" i="9"/>
  <c r="W103" i="9"/>
  <c r="W102" i="9"/>
  <c r="F171" i="9"/>
  <c r="F174" i="9"/>
  <c r="F172" i="9"/>
  <c r="F175" i="9"/>
  <c r="H172" i="9"/>
  <c r="H171" i="9"/>
  <c r="H175" i="9"/>
  <c r="H174" i="9"/>
  <c r="AB199" i="9"/>
  <c r="AB200" i="9" s="1"/>
  <c r="AB198" i="9"/>
  <c r="AB202" i="9"/>
  <c r="AB201" i="9"/>
  <c r="G28" i="9"/>
  <c r="G31" i="9"/>
  <c r="G30" i="9"/>
  <c r="G27" i="9"/>
  <c r="H45" i="9"/>
  <c r="H48" i="9"/>
  <c r="H46" i="9"/>
  <c r="H49" i="9"/>
  <c r="AD63" i="9"/>
  <c r="AD65" i="9"/>
  <c r="AD66" i="9"/>
  <c r="AD67" i="9"/>
  <c r="AD64" i="9"/>
  <c r="Y19" i="9"/>
  <c r="Y18" i="9"/>
  <c r="Y22" i="9"/>
  <c r="Y20" i="9"/>
  <c r="Y23" i="9" s="1"/>
  <c r="Y21" i="9"/>
  <c r="Y24" i="9" s="1"/>
  <c r="O9" i="9"/>
  <c r="O13" i="9"/>
  <c r="O12" i="9"/>
  <c r="O10" i="9"/>
  <c r="AB54" i="9"/>
  <c r="AB58" i="9"/>
  <c r="AB55" i="9"/>
  <c r="AB56" i="9" s="1"/>
  <c r="AB59" i="9" s="1"/>
  <c r="AB57" i="9"/>
  <c r="AB60" i="9" s="1"/>
  <c r="F109" i="9"/>
  <c r="F112" i="9"/>
  <c r="F108" i="9"/>
  <c r="F111" i="9"/>
  <c r="M54" i="9"/>
  <c r="M58" i="9"/>
  <c r="M55" i="9"/>
  <c r="M57" i="9"/>
  <c r="AB67" i="9"/>
  <c r="AB63" i="9"/>
  <c r="AB66" i="9"/>
  <c r="AB64" i="9"/>
  <c r="AH112" i="9"/>
  <c r="AH111" i="9"/>
  <c r="AH109" i="9"/>
  <c r="AH108" i="9"/>
  <c r="Q112" i="9"/>
  <c r="Q111" i="9"/>
  <c r="Q108" i="9"/>
  <c r="Q109" i="9"/>
  <c r="H147" i="9"/>
  <c r="H145" i="9"/>
  <c r="H146" i="9" s="1"/>
  <c r="H148" i="9"/>
  <c r="H149" i="9" s="1"/>
  <c r="H150" i="9" s="1"/>
  <c r="H144" i="9"/>
  <c r="AA121" i="9"/>
  <c r="AA120" i="9"/>
  <c r="AA118" i="9"/>
  <c r="AA117" i="9"/>
  <c r="X127" i="9"/>
  <c r="X126" i="9"/>
  <c r="X130" i="9"/>
  <c r="X128" i="9"/>
  <c r="X129" i="9"/>
  <c r="J40" i="9"/>
  <c r="J39" i="9"/>
  <c r="J37" i="9"/>
  <c r="J36" i="9"/>
  <c r="W180" i="9"/>
  <c r="W183" i="9"/>
  <c r="W181" i="9"/>
  <c r="W182" i="9" s="1"/>
  <c r="W184" i="9"/>
  <c r="S76" i="9"/>
  <c r="S75" i="9"/>
  <c r="S72" i="9"/>
  <c r="S73" i="9"/>
  <c r="S74" i="9" s="1"/>
  <c r="T90" i="9"/>
  <c r="T91" i="9"/>
  <c r="T94" i="9"/>
  <c r="T93" i="9"/>
  <c r="L108" i="9"/>
  <c r="L111" i="9"/>
  <c r="L109" i="9"/>
  <c r="L112" i="9"/>
  <c r="K183" i="9"/>
  <c r="K181" i="9"/>
  <c r="K180" i="9"/>
  <c r="K184" i="9"/>
  <c r="J12" i="9"/>
  <c r="J10" i="9"/>
  <c r="J13" i="9"/>
  <c r="J9" i="9"/>
  <c r="Q157" i="9"/>
  <c r="Q156" i="9"/>
  <c r="Q153" i="9"/>
  <c r="Q154" i="9"/>
  <c r="AG172" i="9"/>
  <c r="AG171" i="9"/>
  <c r="AG175" i="9"/>
  <c r="AG174" i="9"/>
  <c r="U201" i="9"/>
  <c r="U199" i="9"/>
  <c r="U202" i="9"/>
  <c r="U198" i="9"/>
  <c r="U184" i="9"/>
  <c r="U183" i="9"/>
  <c r="U181" i="9"/>
  <c r="U180" i="9"/>
  <c r="E90" i="9"/>
  <c r="E93" i="9"/>
  <c r="E91" i="9"/>
  <c r="E94" i="9"/>
  <c r="AC90" i="9"/>
  <c r="AC94" i="9"/>
  <c r="AC91" i="9"/>
  <c r="AC93" i="9"/>
  <c r="Q102" i="9"/>
  <c r="Q100" i="9"/>
  <c r="Q99" i="9"/>
  <c r="Q103" i="9"/>
  <c r="AH174" i="9"/>
  <c r="AH172" i="9"/>
  <c r="AH175" i="9"/>
  <c r="AH171" i="9"/>
  <c r="Q181" i="9"/>
  <c r="Q180" i="9"/>
  <c r="Q184" i="9"/>
  <c r="Q183" i="9"/>
  <c r="AI13" i="9"/>
  <c r="AI12" i="9"/>
  <c r="AI10" i="9"/>
  <c r="AI9" i="9"/>
  <c r="G9" i="9"/>
  <c r="G10" i="9"/>
  <c r="G11" i="9" s="1"/>
  <c r="G13" i="9"/>
  <c r="G12" i="9"/>
  <c r="O37" i="9"/>
  <c r="O36" i="9"/>
  <c r="O40" i="9"/>
  <c r="O39" i="9"/>
  <c r="S28" i="9"/>
  <c r="S27" i="9"/>
  <c r="S30" i="9"/>
  <c r="S31" i="9"/>
  <c r="AG58" i="9"/>
  <c r="AG57" i="9"/>
  <c r="AG54" i="9"/>
  <c r="AG55" i="9"/>
  <c r="AG56" i="9" s="1"/>
  <c r="AE21" i="9"/>
  <c r="AE19" i="9"/>
  <c r="AE20" i="9" s="1"/>
  <c r="AE23" i="9" s="1"/>
  <c r="AE22" i="9"/>
  <c r="AE18" i="9"/>
  <c r="X45" i="9"/>
  <c r="X49" i="9"/>
  <c r="X48" i="9"/>
  <c r="X46" i="9"/>
  <c r="X47" i="9" s="1"/>
  <c r="X50" i="9" s="1"/>
  <c r="X51" i="9" s="1"/>
  <c r="AD73" i="9"/>
  <c r="AD75" i="9"/>
  <c r="AD76" i="9"/>
  <c r="AD72" i="9"/>
  <c r="G82" i="9"/>
  <c r="G85" i="9"/>
  <c r="G81" i="9"/>
  <c r="G84" i="9"/>
  <c r="F49" i="9"/>
  <c r="F46" i="9"/>
  <c r="F48" i="9"/>
  <c r="F45" i="9"/>
  <c r="L67" i="9"/>
  <c r="L66" i="9"/>
  <c r="L64" i="9"/>
  <c r="L63" i="9"/>
  <c r="N109" i="9"/>
  <c r="N108" i="9"/>
  <c r="N111" i="9"/>
  <c r="N112" i="9"/>
  <c r="AE55" i="9"/>
  <c r="AE54" i="9"/>
  <c r="AE58" i="9"/>
  <c r="AE57" i="9"/>
  <c r="H64" i="9"/>
  <c r="H63" i="9"/>
  <c r="H67" i="9"/>
  <c r="H66" i="9"/>
  <c r="U163" i="9"/>
  <c r="U166" i="9"/>
  <c r="U162" i="9"/>
  <c r="U165" i="9"/>
  <c r="K84" i="9"/>
  <c r="K82" i="9"/>
  <c r="K83" i="9" s="1"/>
  <c r="K81" i="9"/>
  <c r="K85" i="9"/>
  <c r="AH103" i="9"/>
  <c r="AH102" i="9"/>
  <c r="AH99" i="9"/>
  <c r="AH100" i="9"/>
  <c r="AH101" i="9" s="1"/>
  <c r="AH104" i="9" s="1"/>
  <c r="AH105" i="9" s="1"/>
  <c r="E139" i="9"/>
  <c r="E138" i="9"/>
  <c r="E135" i="9"/>
  <c r="E136" i="9"/>
  <c r="E137" i="9" s="1"/>
  <c r="E153" i="9"/>
  <c r="E154" i="9"/>
  <c r="E155" i="9" s="1"/>
  <c r="E157" i="9"/>
  <c r="E158" i="9"/>
  <c r="E156" i="9"/>
  <c r="T121" i="9"/>
  <c r="T117" i="9"/>
  <c r="T120" i="9"/>
  <c r="T118" i="9"/>
  <c r="AI199" i="9"/>
  <c r="AI198" i="9"/>
  <c r="AI201" i="9"/>
  <c r="AI202" i="9"/>
  <c r="AF127" i="9"/>
  <c r="AF126" i="9"/>
  <c r="AF129" i="9"/>
  <c r="AF130" i="9"/>
  <c r="I39" i="9"/>
  <c r="I37" i="9"/>
  <c r="I36" i="9"/>
  <c r="I40" i="9"/>
  <c r="R112" i="9"/>
  <c r="R111" i="9"/>
  <c r="R108" i="9"/>
  <c r="R109" i="9"/>
  <c r="R110" i="9" s="1"/>
  <c r="O184" i="9"/>
  <c r="O183" i="9"/>
  <c r="O181" i="9"/>
  <c r="O180" i="9"/>
  <c r="AG73" i="9"/>
  <c r="AG72" i="9"/>
  <c r="AG76" i="9"/>
  <c r="AG75" i="9"/>
  <c r="AG112" i="9"/>
  <c r="AG111" i="9"/>
  <c r="AG109" i="9"/>
  <c r="AG108" i="9"/>
  <c r="L139" i="9"/>
  <c r="L138" i="9"/>
  <c r="L135" i="9"/>
  <c r="L136" i="9"/>
  <c r="AB184" i="9"/>
  <c r="AB183" i="9"/>
  <c r="AB180" i="9"/>
  <c r="AB181" i="9"/>
  <c r="P180" i="9"/>
  <c r="P181" i="9"/>
  <c r="P184" i="9"/>
  <c r="P183" i="9"/>
  <c r="U193" i="9"/>
  <c r="U192" i="9"/>
  <c r="U190" i="9"/>
  <c r="U191" i="9" s="1"/>
  <c r="U189" i="9"/>
  <c r="L13" i="9"/>
  <c r="L12" i="9"/>
  <c r="L10" i="9"/>
  <c r="L9" i="9"/>
  <c r="H190" i="9"/>
  <c r="H193" i="9"/>
  <c r="H191" i="9"/>
  <c r="H194" i="9" s="1"/>
  <c r="H195" i="9" s="1"/>
  <c r="H189" i="9"/>
  <c r="H192" i="9"/>
  <c r="AA94" i="9"/>
  <c r="AA93" i="9"/>
  <c r="AA90" i="9"/>
  <c r="AA91" i="9"/>
  <c r="AA92" i="9" s="1"/>
  <c r="J157" i="9"/>
  <c r="J156" i="9"/>
  <c r="J154" i="9"/>
  <c r="J153" i="9"/>
  <c r="J155" i="9" s="1"/>
  <c r="J158" i="9" s="1"/>
  <c r="S175" i="9"/>
  <c r="S174" i="9"/>
  <c r="S171" i="9"/>
  <c r="S172" i="9"/>
  <c r="S173" i="9" s="1"/>
  <c r="S176" i="9" s="1"/>
  <c r="S177" i="9" s="1"/>
  <c r="K138" i="9"/>
  <c r="K136" i="9"/>
  <c r="K139" i="9"/>
  <c r="K135" i="9"/>
  <c r="W37" i="9"/>
  <c r="W36" i="9"/>
  <c r="W40" i="9"/>
  <c r="W39" i="9"/>
  <c r="R19" i="9"/>
  <c r="R18" i="9"/>
  <c r="R21" i="9"/>
  <c r="R22" i="9"/>
  <c r="AE46" i="9"/>
  <c r="AE49" i="9"/>
  <c r="AE48" i="9"/>
  <c r="AE45" i="9"/>
  <c r="AH19" i="9"/>
  <c r="AH18" i="9"/>
  <c r="AH22" i="9"/>
  <c r="AH21" i="9"/>
  <c r="V73" i="9"/>
  <c r="V76" i="9"/>
  <c r="V72" i="9"/>
  <c r="V75" i="9"/>
  <c r="AC13" i="9"/>
  <c r="AC9" i="9"/>
  <c r="AC10" i="9"/>
  <c r="AC12" i="9"/>
  <c r="V10" i="9"/>
  <c r="V11" i="9" s="1"/>
  <c r="V13" i="9"/>
  <c r="V12" i="9"/>
  <c r="V9" i="9"/>
  <c r="S51" i="9"/>
  <c r="U85" i="9"/>
  <c r="U84" i="9"/>
  <c r="U82" i="9"/>
  <c r="U81" i="9"/>
  <c r="K48" i="9"/>
  <c r="K46" i="9"/>
  <c r="K49" i="9"/>
  <c r="K45" i="9"/>
  <c r="L76" i="9"/>
  <c r="L75" i="9"/>
  <c r="L73" i="9"/>
  <c r="L72" i="9"/>
  <c r="U54" i="9"/>
  <c r="U55" i="9"/>
  <c r="U58" i="9"/>
  <c r="U57" i="9"/>
  <c r="X64" i="9"/>
  <c r="X63" i="9"/>
  <c r="X66" i="9"/>
  <c r="X67" i="9"/>
  <c r="AE109" i="9"/>
  <c r="AE108" i="9"/>
  <c r="AE112" i="9"/>
  <c r="AE111" i="9"/>
  <c r="W135" i="9"/>
  <c r="W139" i="9"/>
  <c r="W138" i="9"/>
  <c r="W136" i="9"/>
  <c r="AE154" i="9"/>
  <c r="AE153" i="9"/>
  <c r="AE155" i="9" s="1"/>
  <c r="AE156" i="9"/>
  <c r="AE157" i="9"/>
  <c r="AA40" i="9"/>
  <c r="AA39" i="9"/>
  <c r="AA36" i="9"/>
  <c r="AA37" i="9"/>
  <c r="V117" i="9"/>
  <c r="V118" i="9"/>
  <c r="V119" i="9" s="1"/>
  <c r="V120" i="9"/>
  <c r="V121" i="9"/>
  <c r="Q165" i="9"/>
  <c r="Q163" i="9"/>
  <c r="Q162" i="9"/>
  <c r="Q166" i="9"/>
  <c r="W154" i="9"/>
  <c r="W153" i="9"/>
  <c r="W156" i="9"/>
  <c r="W157" i="9"/>
  <c r="G183" i="9"/>
  <c r="G181" i="9"/>
  <c r="G184" i="9"/>
  <c r="G180" i="9"/>
  <c r="Q73" i="9"/>
  <c r="Q72" i="9"/>
  <c r="Q76" i="9"/>
  <c r="Q75" i="9"/>
  <c r="P135" i="9"/>
  <c r="P138" i="9"/>
  <c r="P136" i="9"/>
  <c r="P137" i="9" s="1"/>
  <c r="P139" i="9"/>
  <c r="Z94" i="9"/>
  <c r="Z93" i="9"/>
  <c r="Z90" i="9"/>
  <c r="Z91" i="9"/>
  <c r="Z92" i="9" s="1"/>
  <c r="R28" i="9"/>
  <c r="R27" i="9"/>
  <c r="R30" i="9"/>
  <c r="R31" i="9"/>
  <c r="O19" i="9"/>
  <c r="O22" i="9"/>
  <c r="O21" i="9"/>
  <c r="O18" i="9"/>
  <c r="AC63" i="9"/>
  <c r="AC66" i="9"/>
  <c r="AC67" i="9"/>
  <c r="AC64" i="9"/>
  <c r="AC65" i="9" s="1"/>
  <c r="K21" i="9"/>
  <c r="K19" i="9"/>
  <c r="K22" i="9"/>
  <c r="K18" i="9"/>
  <c r="F76" i="9"/>
  <c r="F72" i="9"/>
  <c r="F73" i="9"/>
  <c r="F74" i="9" s="1"/>
  <c r="F75" i="9"/>
  <c r="I82" i="9"/>
  <c r="I81" i="9"/>
  <c r="I84" i="9"/>
  <c r="I85" i="9"/>
  <c r="N9" i="9"/>
  <c r="N12" i="9"/>
  <c r="N13" i="9"/>
  <c r="N10" i="9"/>
  <c r="AA48" i="9"/>
  <c r="AA46" i="9"/>
  <c r="AA45" i="9"/>
  <c r="AA49" i="9"/>
  <c r="L49" i="9"/>
  <c r="L48" i="9"/>
  <c r="L45" i="9"/>
  <c r="L46" i="9"/>
  <c r="N174" i="9"/>
  <c r="N172" i="9"/>
  <c r="N175" i="9"/>
  <c r="N171" i="9"/>
  <c r="F162" i="9"/>
  <c r="F166" i="9"/>
  <c r="F164" i="9"/>
  <c r="F167" i="9" s="1"/>
  <c r="F165" i="9"/>
  <c r="F163" i="9"/>
  <c r="Z82" i="9"/>
  <c r="Z83" i="9" s="1"/>
  <c r="Z81" i="9"/>
  <c r="Z84" i="9"/>
  <c r="Z85" i="9"/>
  <c r="O138" i="9"/>
  <c r="O136" i="9"/>
  <c r="O137" i="9" s="1"/>
  <c r="O135" i="9"/>
  <c r="O139" i="9"/>
  <c r="T130" i="9"/>
  <c r="T129" i="9"/>
  <c r="T126" i="9"/>
  <c r="T127" i="9"/>
  <c r="Z190" i="9"/>
  <c r="Z189" i="9"/>
  <c r="Z191" i="9"/>
  <c r="Z192" i="9"/>
  <c r="Z193" i="9"/>
  <c r="M184" i="9"/>
  <c r="M183" i="9"/>
  <c r="M180" i="9"/>
  <c r="M181" i="9"/>
  <c r="M182" i="9" s="1"/>
  <c r="E201" i="9"/>
  <c r="E199" i="9"/>
  <c r="E202" i="9"/>
  <c r="E198" i="9"/>
  <c r="O91" i="9"/>
  <c r="O92" i="9" s="1"/>
  <c r="O90" i="9"/>
  <c r="O94" i="9"/>
  <c r="O93" i="9"/>
  <c r="I94" i="9"/>
  <c r="I93" i="9"/>
  <c r="I90" i="9"/>
  <c r="I91" i="9"/>
  <c r="I92" i="9" s="1"/>
  <c r="I102" i="9"/>
  <c r="I100" i="9"/>
  <c r="I99" i="9"/>
  <c r="I103" i="9"/>
  <c r="V99" i="9"/>
  <c r="V103" i="9"/>
  <c r="V102" i="9"/>
  <c r="V100" i="9"/>
  <c r="Q202" i="9"/>
  <c r="Q198" i="9"/>
  <c r="Q199" i="9"/>
  <c r="Q201" i="9"/>
  <c r="Y157" i="9"/>
  <c r="Y156" i="9"/>
  <c r="Y153" i="9"/>
  <c r="Y155" i="9" s="1"/>
  <c r="Y158" i="9" s="1"/>
  <c r="Y154" i="9"/>
  <c r="E175" i="9"/>
  <c r="E171" i="9"/>
  <c r="E174" i="9"/>
  <c r="E172" i="9"/>
  <c r="E173" i="9" s="1"/>
  <c r="E176" i="9" s="1"/>
  <c r="E177" i="9" s="1"/>
  <c r="AF31" i="9"/>
  <c r="AF28" i="9"/>
  <c r="AF29" i="9" s="1"/>
  <c r="AF32" i="9" s="1"/>
  <c r="AF33" i="9" s="1"/>
  <c r="AF27" i="9"/>
  <c r="AF30" i="9"/>
  <c r="F36" i="9"/>
  <c r="F39" i="9"/>
  <c r="F37" i="9"/>
  <c r="F40" i="9"/>
  <c r="AE28" i="9"/>
  <c r="AE27" i="9"/>
  <c r="AE31" i="9"/>
  <c r="AE30" i="9"/>
  <c r="P57" i="9"/>
  <c r="P55" i="9"/>
  <c r="P54" i="9"/>
  <c r="P58" i="9"/>
  <c r="AF18" i="9"/>
  <c r="AF21" i="9"/>
  <c r="AF19" i="9"/>
  <c r="AF22" i="9"/>
  <c r="AC22" i="9"/>
  <c r="AC21" i="9"/>
  <c r="AC19" i="9"/>
  <c r="AC18" i="9"/>
  <c r="Y46" i="9"/>
  <c r="Y45" i="9"/>
  <c r="Y48" i="9"/>
  <c r="Y49" i="9"/>
  <c r="M49" i="9"/>
  <c r="M48" i="9"/>
  <c r="M45" i="9"/>
  <c r="M46" i="9"/>
  <c r="E63" i="9"/>
  <c r="E67" i="9"/>
  <c r="E66" i="9"/>
  <c r="E64" i="9"/>
  <c r="J19" i="9"/>
  <c r="J18" i="9"/>
  <c r="J21" i="9"/>
  <c r="J22" i="9"/>
  <c r="H73" i="9"/>
  <c r="H72" i="9"/>
  <c r="H76" i="9"/>
  <c r="H75" i="9"/>
  <c r="X73" i="9"/>
  <c r="X72" i="9"/>
  <c r="X75" i="9"/>
  <c r="X76" i="9"/>
  <c r="Y82" i="9"/>
  <c r="Y81" i="9"/>
  <c r="Y84" i="9"/>
  <c r="Y85" i="9"/>
  <c r="H10" i="9"/>
  <c r="H9" i="9"/>
  <c r="H13" i="9"/>
  <c r="H11" i="9"/>
  <c r="H14" i="9" s="1"/>
  <c r="H12" i="9"/>
  <c r="P10" i="9"/>
  <c r="P9" i="9"/>
  <c r="P12" i="9"/>
  <c r="P13" i="9"/>
  <c r="X81" i="9"/>
  <c r="X84" i="9"/>
  <c r="X85" i="9"/>
  <c r="X82" i="9"/>
  <c r="X83" i="9" s="1"/>
  <c r="X86" i="9" s="1"/>
  <c r="S54" i="9"/>
  <c r="S58" i="9"/>
  <c r="S57" i="9"/>
  <c r="S55" i="9"/>
  <c r="H100" i="9"/>
  <c r="H99" i="9"/>
  <c r="H103" i="9"/>
  <c r="H102" i="9"/>
  <c r="AC118" i="9"/>
  <c r="AC121" i="9"/>
  <c r="AC117" i="9"/>
  <c r="AC120" i="9"/>
  <c r="AC54" i="9"/>
  <c r="AC57" i="9"/>
  <c r="AC55" i="9"/>
  <c r="AC56" i="9" s="1"/>
  <c r="AC58" i="9"/>
  <c r="AG102" i="9"/>
  <c r="AG100" i="9"/>
  <c r="AG103" i="9"/>
  <c r="AG99" i="9"/>
  <c r="G126" i="9"/>
  <c r="G129" i="9"/>
  <c r="G127" i="9"/>
  <c r="G128" i="9" s="1"/>
  <c r="G130" i="9"/>
  <c r="J103" i="9"/>
  <c r="J102" i="9"/>
  <c r="J100" i="9"/>
  <c r="J99" i="9"/>
  <c r="AD171" i="9"/>
  <c r="AD174" i="9"/>
  <c r="AD172" i="9"/>
  <c r="AD173" i="9" s="1"/>
  <c r="AD176" i="9" s="1"/>
  <c r="AD175" i="9"/>
  <c r="AC108" i="9"/>
  <c r="AC112" i="9"/>
  <c r="AC109" i="9"/>
  <c r="AC110" i="9" s="1"/>
  <c r="AC111" i="9"/>
  <c r="O144" i="9"/>
  <c r="O146" i="9"/>
  <c r="O149" i="9" s="1"/>
  <c r="O145" i="9"/>
  <c r="O147" i="9"/>
  <c r="O148" i="9"/>
  <c r="G171" i="9"/>
  <c r="G174" i="9"/>
  <c r="G172" i="9"/>
  <c r="G173" i="9" s="1"/>
  <c r="G175" i="9"/>
  <c r="S103" i="9"/>
  <c r="S102" i="9"/>
  <c r="S99" i="9"/>
  <c r="S100" i="9"/>
  <c r="AF148" i="9"/>
  <c r="AF147" i="9"/>
  <c r="AF144" i="9"/>
  <c r="AF145" i="9"/>
  <c r="AF146" i="9" s="1"/>
  <c r="AF149" i="9" s="1"/>
  <c r="M130" i="9"/>
  <c r="M127" i="9"/>
  <c r="M126" i="9"/>
  <c r="M129" i="9"/>
  <c r="M153" i="9"/>
  <c r="M156" i="9"/>
  <c r="M154" i="9"/>
  <c r="M157" i="9"/>
  <c r="AE163" i="9"/>
  <c r="AE162" i="9"/>
  <c r="AE166" i="9"/>
  <c r="AE165" i="9"/>
  <c r="R129" i="9"/>
  <c r="R127" i="9"/>
  <c r="R126" i="9"/>
  <c r="R130" i="9"/>
  <c r="AB130" i="9"/>
  <c r="AB129" i="9"/>
  <c r="AB127" i="9"/>
  <c r="AB126" i="9"/>
  <c r="AB128" i="9" s="1"/>
  <c r="I189" i="9"/>
  <c r="I192" i="9"/>
  <c r="I190" i="9"/>
  <c r="I193" i="9"/>
  <c r="I191" i="9"/>
  <c r="I194" i="9" s="1"/>
  <c r="AH198" i="9"/>
  <c r="AH201" i="9"/>
  <c r="AH202" i="9"/>
  <c r="AH199" i="9"/>
  <c r="S40" i="9"/>
  <c r="S39" i="9"/>
  <c r="S37" i="9"/>
  <c r="S36" i="9"/>
  <c r="AC139" i="9"/>
  <c r="AC135" i="9"/>
  <c r="AC136" i="9"/>
  <c r="AC138" i="9"/>
  <c r="L94" i="9"/>
  <c r="L90" i="9"/>
  <c r="L91" i="9"/>
  <c r="L92" i="9" s="1"/>
  <c r="L93" i="9"/>
  <c r="O118" i="9"/>
  <c r="O117" i="9"/>
  <c r="O121" i="9"/>
  <c r="O119" i="9"/>
  <c r="O122" i="9" s="1"/>
  <c r="O120" i="9"/>
  <c r="Z198" i="9"/>
  <c r="Z201" i="9"/>
  <c r="Z202" i="9"/>
  <c r="Z199" i="9"/>
  <c r="AC76" i="9"/>
  <c r="AC72" i="9"/>
  <c r="AC73" i="9"/>
  <c r="AC75" i="9"/>
  <c r="R121" i="9"/>
  <c r="R120" i="9"/>
  <c r="R118" i="9"/>
  <c r="R117" i="9"/>
  <c r="R119" i="9" s="1"/>
  <c r="AC99" i="9"/>
  <c r="AC102" i="9"/>
  <c r="AC103" i="9"/>
  <c r="AC100" i="9"/>
  <c r="H118" i="9"/>
  <c r="H117" i="9"/>
  <c r="H121" i="9"/>
  <c r="H120" i="9"/>
  <c r="M201" i="9"/>
  <c r="M199" i="9"/>
  <c r="M202" i="9"/>
  <c r="M198" i="9"/>
  <c r="O171" i="9"/>
  <c r="O174" i="9"/>
  <c r="O172" i="9"/>
  <c r="O173" i="9" s="1"/>
  <c r="O175" i="9"/>
  <c r="AF135" i="9"/>
  <c r="AF139" i="9"/>
  <c r="AF136" i="9"/>
  <c r="AF138" i="9"/>
  <c r="V202" i="9"/>
  <c r="V201" i="9"/>
  <c r="V199" i="9"/>
  <c r="V198" i="9"/>
  <c r="Y181" i="9"/>
  <c r="Y180" i="9"/>
  <c r="Y183" i="9"/>
  <c r="Y184" i="9"/>
  <c r="AI94" i="9"/>
  <c r="AI93" i="9"/>
  <c r="AI91" i="9"/>
  <c r="AI90" i="9"/>
  <c r="H93" i="9"/>
  <c r="H91" i="9"/>
  <c r="H90" i="9"/>
  <c r="H94" i="9"/>
  <c r="Z103" i="9"/>
  <c r="Z102" i="9"/>
  <c r="Z100" i="9"/>
  <c r="Z99" i="9"/>
  <c r="F99" i="9"/>
  <c r="F103" i="9"/>
  <c r="F100" i="9"/>
  <c r="F101" i="9" s="1"/>
  <c r="F104" i="9" s="1"/>
  <c r="F102" i="9"/>
  <c r="X156" i="9"/>
  <c r="X154" i="9"/>
  <c r="X153" i="9"/>
  <c r="X157" i="9"/>
  <c r="Z174" i="9"/>
  <c r="Z172" i="9"/>
  <c r="Z171" i="9"/>
  <c r="Z173" i="9" s="1"/>
  <c r="Z175" i="9"/>
  <c r="X180" i="9"/>
  <c r="X183" i="9"/>
  <c r="X184" i="9"/>
  <c r="X181" i="9"/>
  <c r="J136" i="9"/>
  <c r="J135" i="9"/>
  <c r="J139" i="9"/>
  <c r="J138" i="9"/>
  <c r="T13" i="9"/>
  <c r="T12" i="9"/>
  <c r="T9" i="9"/>
  <c r="T10" i="9"/>
  <c r="T11" i="9" s="1"/>
  <c r="K76" i="9"/>
  <c r="K75" i="9"/>
  <c r="K73" i="9"/>
  <c r="K72" i="9"/>
  <c r="K74" i="9" s="1"/>
  <c r="K77" i="9" s="1"/>
  <c r="V126" i="9"/>
  <c r="V128" i="9" s="1"/>
  <c r="V127" i="9"/>
  <c r="V130" i="9"/>
  <c r="V129" i="9"/>
  <c r="W171" i="9"/>
  <c r="W172" i="9"/>
  <c r="W175" i="9"/>
  <c r="W174" i="9"/>
  <c r="AI183" i="9"/>
  <c r="AI181" i="9"/>
  <c r="AI180" i="9"/>
  <c r="AI184" i="9"/>
  <c r="E193" i="9"/>
  <c r="E192" i="9"/>
  <c r="E189" i="9"/>
  <c r="E190" i="9"/>
  <c r="R181" i="9"/>
  <c r="R180" i="9"/>
  <c r="R183" i="9"/>
  <c r="R184" i="9"/>
  <c r="AF190" i="9"/>
  <c r="AF191" i="9" s="1"/>
  <c r="AF194" i="9" s="1"/>
  <c r="AF193" i="9"/>
  <c r="AF192" i="9"/>
  <c r="AF195" i="9" s="1"/>
  <c r="AF189" i="9"/>
  <c r="AG94" i="9"/>
  <c r="AG93" i="9"/>
  <c r="AG91" i="9"/>
  <c r="AG90" i="9"/>
  <c r="AF45" i="9"/>
  <c r="AF48" i="9"/>
  <c r="AF46" i="9"/>
  <c r="AF49" i="9"/>
  <c r="AE64" i="9"/>
  <c r="AE63" i="9"/>
  <c r="AE67" i="9"/>
  <c r="AE66" i="9"/>
  <c r="O72" i="9"/>
  <c r="O76" i="9"/>
  <c r="O73" i="9"/>
  <c r="O74" i="9" s="1"/>
  <c r="O75" i="9"/>
  <c r="W84" i="9"/>
  <c r="W82" i="9"/>
  <c r="W81" i="9"/>
  <c r="W85" i="9"/>
  <c r="Z46" i="9"/>
  <c r="Z45" i="9"/>
  <c r="Z49" i="9"/>
  <c r="Z48" i="9"/>
  <c r="J94" i="9"/>
  <c r="J93" i="9"/>
  <c r="J91" i="9"/>
  <c r="J90" i="9"/>
  <c r="J92" i="9" s="1"/>
  <c r="Z58" i="9"/>
  <c r="Z57" i="9"/>
  <c r="Z55" i="9"/>
  <c r="Z54" i="9"/>
  <c r="AG39" i="9"/>
  <c r="AG37" i="9"/>
  <c r="AG36" i="9"/>
  <c r="AG40" i="9"/>
  <c r="AG69" i="9"/>
  <c r="T184" i="9"/>
  <c r="T183" i="9"/>
  <c r="T181" i="9"/>
  <c r="T180" i="9"/>
  <c r="Q94" i="9"/>
  <c r="Q93" i="9"/>
  <c r="Q91" i="9"/>
  <c r="Q90" i="9"/>
  <c r="G100" i="9"/>
  <c r="G99" i="9"/>
  <c r="G103" i="9"/>
  <c r="G102" i="9"/>
  <c r="X202" i="9"/>
  <c r="X198" i="9"/>
  <c r="X201" i="9"/>
  <c r="X199" i="9"/>
  <c r="Y27" i="9"/>
  <c r="Y30" i="9"/>
  <c r="Y31" i="9"/>
  <c r="Y28" i="9"/>
  <c r="J28" i="9"/>
  <c r="J27" i="9"/>
  <c r="J31" i="9"/>
  <c r="J30" i="9"/>
  <c r="W18" i="9"/>
  <c r="W19" i="9"/>
  <c r="W22" i="9"/>
  <c r="W21" i="9"/>
  <c r="V109" i="9"/>
  <c r="V108" i="9"/>
  <c r="V111" i="9"/>
  <c r="V112" i="9"/>
  <c r="AH60" i="9"/>
  <c r="AC162" i="9"/>
  <c r="AC165" i="9"/>
  <c r="AC163" i="9"/>
  <c r="AC164" i="9" s="1"/>
  <c r="AC166" i="9"/>
  <c r="AD138" i="9"/>
  <c r="AD135" i="9"/>
  <c r="AD136" i="9"/>
  <c r="AD139" i="9"/>
  <c r="R82" i="9"/>
  <c r="R81" i="9"/>
  <c r="R85" i="9"/>
  <c r="R84" i="9"/>
  <c r="AG10" i="9"/>
  <c r="AG9" i="9"/>
  <c r="AG13" i="9"/>
  <c r="AG12" i="9"/>
  <c r="I120" i="9"/>
  <c r="I118" i="9"/>
  <c r="I117" i="9"/>
  <c r="I121" i="9"/>
  <c r="K108" i="9"/>
  <c r="K112" i="9"/>
  <c r="K111" i="9"/>
  <c r="K109" i="9"/>
  <c r="K110" i="9" s="1"/>
  <c r="K113" i="9" s="1"/>
  <c r="E99" i="9"/>
  <c r="E100" i="9"/>
  <c r="E103" i="9"/>
  <c r="E102" i="9"/>
  <c r="N184" i="9"/>
  <c r="N180" i="9"/>
  <c r="N181" i="9"/>
  <c r="N183" i="9"/>
  <c r="L199" i="9"/>
  <c r="L198" i="9"/>
  <c r="L201" i="9"/>
  <c r="L202" i="9"/>
  <c r="F184" i="9"/>
  <c r="F181" i="9"/>
  <c r="F183" i="9"/>
  <c r="F180" i="9"/>
  <c r="X93" i="9"/>
  <c r="X91" i="9"/>
  <c r="X90" i="9"/>
  <c r="X94" i="9"/>
  <c r="AD99" i="9"/>
  <c r="AD100" i="9"/>
  <c r="AD101" i="9" s="1"/>
  <c r="AD104" i="9" s="1"/>
  <c r="AD102" i="9"/>
  <c r="AD103" i="9"/>
  <c r="AG199" i="9"/>
  <c r="AG200" i="9" s="1"/>
  <c r="AG202" i="9"/>
  <c r="AG198" i="9"/>
  <c r="AG201" i="9"/>
  <c r="AD36" i="9"/>
  <c r="AD37" i="9"/>
  <c r="AD40" i="9"/>
  <c r="AD39" i="9"/>
  <c r="E22" i="9"/>
  <c r="E21" i="9"/>
  <c r="E19" i="9"/>
  <c r="E18" i="9"/>
  <c r="E20" i="9"/>
  <c r="O49" i="9"/>
  <c r="O45" i="9"/>
  <c r="O46" i="9"/>
  <c r="O48" i="9"/>
  <c r="T76" i="9"/>
  <c r="T75" i="9"/>
  <c r="T72" i="9"/>
  <c r="T73" i="9"/>
  <c r="T74" i="9" s="1"/>
  <c r="G163" i="9"/>
  <c r="G162" i="9"/>
  <c r="G166" i="9"/>
  <c r="G165" i="9"/>
  <c r="S199" i="9"/>
  <c r="S198" i="9"/>
  <c r="S202" i="9"/>
  <c r="S201" i="9"/>
  <c r="R190" i="9"/>
  <c r="R189" i="9"/>
  <c r="R193" i="9"/>
  <c r="R192" i="9"/>
  <c r="J75" i="9"/>
  <c r="J73" i="9"/>
  <c r="J76" i="9"/>
  <c r="J72" i="9"/>
  <c r="Q144" i="9"/>
  <c r="Q145" i="9"/>
  <c r="Q146" i="9" s="1"/>
  <c r="Q147" i="9"/>
  <c r="Q148" i="9"/>
  <c r="AB121" i="9"/>
  <c r="AB118" i="9"/>
  <c r="AB120" i="9"/>
  <c r="AB117" i="9"/>
  <c r="M102" i="9"/>
  <c r="M103" i="9"/>
  <c r="M99" i="9"/>
  <c r="M100" i="9"/>
  <c r="K191" i="9"/>
  <c r="K194" i="9" s="1"/>
  <c r="K195" i="9" s="1"/>
  <c r="K190" i="9"/>
  <c r="K189" i="9"/>
  <c r="K192" i="9"/>
  <c r="K193" i="9"/>
  <c r="AA13" i="9"/>
  <c r="AA12" i="9"/>
  <c r="AA9" i="9"/>
  <c r="AA10" i="9"/>
  <c r="AA11" i="9" s="1"/>
  <c r="L85" i="9"/>
  <c r="L84" i="9"/>
  <c r="L82" i="9"/>
  <c r="L81" i="9"/>
  <c r="P100" i="9"/>
  <c r="P99" i="9"/>
  <c r="P102" i="9"/>
  <c r="P103" i="9"/>
  <c r="AC37" i="9"/>
  <c r="AC40" i="9"/>
  <c r="AC39" i="9"/>
  <c r="AC36" i="9"/>
  <c r="U31" i="9"/>
  <c r="U30" i="9"/>
  <c r="U28" i="9"/>
  <c r="U27" i="9"/>
  <c r="H54" i="9"/>
  <c r="H57" i="9"/>
  <c r="H55" i="9"/>
  <c r="H56" i="9" s="1"/>
  <c r="H58" i="9"/>
  <c r="X18" i="9"/>
  <c r="X21" i="9"/>
  <c r="X22" i="9"/>
  <c r="X19" i="9"/>
  <c r="AG46" i="9"/>
  <c r="AG45" i="9"/>
  <c r="AG48" i="9"/>
  <c r="AG49" i="9"/>
  <c r="V49" i="9"/>
  <c r="V48" i="9"/>
  <c r="V46" i="9"/>
  <c r="V45" i="9"/>
  <c r="U49" i="9"/>
  <c r="U48" i="9"/>
  <c r="U46" i="9"/>
  <c r="U45" i="9"/>
  <c r="O64" i="9"/>
  <c r="O63" i="9"/>
  <c r="O67" i="9"/>
  <c r="O66" i="9"/>
  <c r="I19" i="9"/>
  <c r="I18" i="9"/>
  <c r="I20" i="9"/>
  <c r="I21" i="9"/>
  <c r="I22" i="9"/>
  <c r="AE72" i="9"/>
  <c r="AE76" i="9"/>
  <c r="AE75" i="9"/>
  <c r="AE73" i="9"/>
  <c r="AF73" i="9"/>
  <c r="AF72" i="9"/>
  <c r="AF76" i="9"/>
  <c r="AF75" i="9"/>
  <c r="AG82" i="9"/>
  <c r="AG81" i="9"/>
  <c r="AG85" i="9"/>
  <c r="AG84" i="9"/>
  <c r="AE9" i="9"/>
  <c r="AE13" i="9"/>
  <c r="AE10" i="9"/>
  <c r="AE11" i="9" s="1"/>
  <c r="AE12" i="9"/>
  <c r="X10" i="9"/>
  <c r="X9" i="9"/>
  <c r="X12" i="9"/>
  <c r="X13" i="9"/>
  <c r="P81" i="9"/>
  <c r="P85" i="9"/>
  <c r="P84" i="9"/>
  <c r="P82" i="9"/>
  <c r="AA58" i="9"/>
  <c r="AA54" i="9"/>
  <c r="AA57" i="9"/>
  <c r="AA55" i="9"/>
  <c r="L54" i="9"/>
  <c r="L55" i="9"/>
  <c r="L58" i="9"/>
  <c r="L57" i="9"/>
  <c r="X100" i="9"/>
  <c r="X99" i="9"/>
  <c r="X103" i="9"/>
  <c r="X102" i="9"/>
  <c r="N127" i="9"/>
  <c r="N130" i="9"/>
  <c r="N126" i="9"/>
  <c r="N128" i="9" s="1"/>
  <c r="N131" i="9" s="1"/>
  <c r="N129" i="9"/>
  <c r="E57" i="9"/>
  <c r="E54" i="9"/>
  <c r="E58" i="9"/>
  <c r="E55" i="9"/>
  <c r="F55" i="9"/>
  <c r="F57" i="9"/>
  <c r="F58" i="9"/>
  <c r="F54" i="9"/>
  <c r="AF64" i="9"/>
  <c r="AF63" i="9"/>
  <c r="AF67" i="9"/>
  <c r="AF66" i="9"/>
  <c r="H111" i="9"/>
  <c r="H109" i="9"/>
  <c r="H108" i="9"/>
  <c r="H112" i="9"/>
  <c r="T156" i="9"/>
  <c r="T154" i="9"/>
  <c r="T155" i="9" s="1"/>
  <c r="T158" i="9" s="1"/>
  <c r="T157" i="9"/>
  <c r="T153" i="9"/>
  <c r="AI103" i="9"/>
  <c r="AI102" i="9"/>
  <c r="AI99" i="9"/>
  <c r="AI100" i="9"/>
  <c r="AI101" i="9" s="1"/>
  <c r="X144" i="9"/>
  <c r="X147" i="9"/>
  <c r="X148" i="9"/>
  <c r="X145" i="9"/>
  <c r="S84" i="9"/>
  <c r="S82" i="9"/>
  <c r="S85" i="9"/>
  <c r="S81" i="9"/>
  <c r="R136" i="9"/>
  <c r="R137" i="9" s="1"/>
  <c r="R135" i="9"/>
  <c r="R139" i="9"/>
  <c r="R138" i="9"/>
  <c r="U153" i="9"/>
  <c r="U154" i="9"/>
  <c r="U156" i="9"/>
  <c r="U157" i="9"/>
  <c r="I144" i="9"/>
  <c r="I148" i="9"/>
  <c r="I147" i="9"/>
  <c r="I145" i="9"/>
  <c r="AE150" i="9"/>
  <c r="E130" i="9"/>
  <c r="E129" i="9"/>
  <c r="E127" i="9"/>
  <c r="E126" i="9"/>
  <c r="F154" i="9"/>
  <c r="F153" i="9"/>
  <c r="F156" i="9"/>
  <c r="F157" i="9"/>
  <c r="Y189" i="9"/>
  <c r="Y192" i="9"/>
  <c r="Y190" i="9"/>
  <c r="Y193" i="9"/>
  <c r="AF37" i="9"/>
  <c r="AF36" i="9"/>
  <c r="AF39" i="9"/>
  <c r="AF40" i="9"/>
  <c r="X37" i="9"/>
  <c r="X36" i="9"/>
  <c r="X40" i="9"/>
  <c r="X39" i="9"/>
  <c r="Y144" i="9"/>
  <c r="Y146" i="9" s="1"/>
  <c r="Y149" i="9" s="1"/>
  <c r="Y145" i="9"/>
  <c r="Y147" i="9"/>
  <c r="Y148" i="9"/>
  <c r="AB91" i="9"/>
  <c r="AB94" i="9"/>
  <c r="AB93" i="9"/>
  <c r="AB90" i="9"/>
  <c r="X111" i="9"/>
  <c r="X109" i="9"/>
  <c r="X108" i="9"/>
  <c r="X112" i="9"/>
  <c r="Z40" i="9"/>
  <c r="Z39" i="9"/>
  <c r="Z36" i="9"/>
  <c r="Z37" i="9"/>
  <c r="I73" i="9"/>
  <c r="I72" i="9"/>
  <c r="I75" i="9"/>
  <c r="I76" i="9"/>
  <c r="AA199" i="9"/>
  <c r="AA198" i="9"/>
  <c r="AA202" i="9"/>
  <c r="AA201" i="9"/>
  <c r="G118" i="9"/>
  <c r="G117" i="9"/>
  <c r="G119" i="9" s="1"/>
  <c r="G120" i="9"/>
  <c r="G121" i="9"/>
  <c r="G122" i="9" s="1"/>
  <c r="L103" i="9"/>
  <c r="L100" i="9"/>
  <c r="L102" i="9"/>
  <c r="L99" i="9"/>
  <c r="J121" i="9"/>
  <c r="J120" i="9"/>
  <c r="J117" i="9"/>
  <c r="J118" i="9"/>
  <c r="S157" i="9"/>
  <c r="S154" i="9"/>
  <c r="S155" i="9"/>
  <c r="S158" i="9" s="1"/>
  <c r="S156" i="9"/>
  <c r="S153" i="9"/>
  <c r="L175" i="9"/>
  <c r="L174" i="9"/>
  <c r="L172" i="9"/>
  <c r="L171" i="9"/>
  <c r="L173" i="9" s="1"/>
  <c r="L192" i="9"/>
  <c r="L190" i="9"/>
  <c r="L193" i="9"/>
  <c r="L189" i="9"/>
  <c r="L191" i="9" s="1"/>
  <c r="J181" i="9"/>
  <c r="J180" i="9"/>
  <c r="J182" i="9" s="1"/>
  <c r="J183" i="9"/>
  <c r="J184" i="9"/>
  <c r="W193" i="9"/>
  <c r="W192" i="9"/>
  <c r="W190" i="9"/>
  <c r="W191" i="9" s="1"/>
  <c r="W194" i="9" s="1"/>
  <c r="W189" i="9"/>
  <c r="S94" i="9"/>
  <c r="S93" i="9"/>
  <c r="S91" i="9"/>
  <c r="S90" i="9"/>
  <c r="M90" i="9"/>
  <c r="M94" i="9"/>
  <c r="M91" i="9"/>
  <c r="M93" i="9"/>
  <c r="AB103" i="9"/>
  <c r="AB102" i="9"/>
  <c r="AB100" i="9"/>
  <c r="AB99" i="9"/>
  <c r="O100" i="9"/>
  <c r="O99" i="9"/>
  <c r="O102" i="9"/>
  <c r="O103" i="9"/>
  <c r="AG157" i="9"/>
  <c r="AG156" i="9"/>
  <c r="AG155" i="9"/>
  <c r="AG158" i="9" s="1"/>
  <c r="AG154" i="9"/>
  <c r="AG153" i="9"/>
  <c r="M175" i="9"/>
  <c r="M172" i="9"/>
  <c r="M171" i="9"/>
  <c r="M174" i="9"/>
  <c r="AI190" i="9"/>
  <c r="AI189" i="9"/>
  <c r="AI192" i="9"/>
  <c r="AI193" i="9"/>
  <c r="I136" i="9"/>
  <c r="I135" i="9"/>
  <c r="I138" i="9"/>
  <c r="I139" i="9"/>
  <c r="M193" i="9"/>
  <c r="M192" i="9"/>
  <c r="M190" i="9"/>
  <c r="M189" i="9"/>
  <c r="M191" i="9" s="1"/>
  <c r="M194" i="9" s="1"/>
  <c r="M195" i="9" s="1"/>
  <c r="J5" i="9"/>
  <c r="I6" i="9"/>
  <c r="AG159" i="9" l="1"/>
  <c r="I195" i="9"/>
  <c r="AH15" i="9"/>
  <c r="J159" i="9"/>
  <c r="AI33" i="9"/>
  <c r="AC59" i="9"/>
  <c r="I83" i="9"/>
  <c r="AD56" i="9"/>
  <c r="AD59" i="9" s="1"/>
  <c r="AD60" i="9" s="1"/>
  <c r="R173" i="9"/>
  <c r="R176" i="9" s="1"/>
  <c r="E41" i="9"/>
  <c r="AG83" i="9"/>
  <c r="AG86" i="9" s="1"/>
  <c r="AG87" i="9" s="1"/>
  <c r="L200" i="9"/>
  <c r="L203" i="9" s="1"/>
  <c r="L204" i="9" s="1"/>
  <c r="R83" i="9"/>
  <c r="R86" i="9" s="1"/>
  <c r="R87" i="9" s="1"/>
  <c r="Z56" i="9"/>
  <c r="Z59" i="9" s="1"/>
  <c r="Z60" i="9" s="1"/>
  <c r="AE119" i="9"/>
  <c r="AE122" i="9" s="1"/>
  <c r="AE123" i="9" s="1"/>
  <c r="AF185" i="9"/>
  <c r="V20" i="9"/>
  <c r="F203" i="9"/>
  <c r="F204" i="9" s="1"/>
  <c r="AB92" i="9"/>
  <c r="AB95" i="9" s="1"/>
  <c r="V74" i="9"/>
  <c r="V77" i="9" s="1"/>
  <c r="V78" i="9" s="1"/>
  <c r="P65" i="9"/>
  <c r="P68" i="9" s="1"/>
  <c r="Q20" i="9"/>
  <c r="AD20" i="9"/>
  <c r="AD23" i="9" s="1"/>
  <c r="G47" i="9"/>
  <c r="G50" i="9" s="1"/>
  <c r="G51" i="9" s="1"/>
  <c r="AE137" i="9"/>
  <c r="Z110" i="9"/>
  <c r="K132" i="9"/>
  <c r="S168" i="9"/>
  <c r="AE104" i="9"/>
  <c r="AE105" i="9" s="1"/>
  <c r="J164" i="9"/>
  <c r="J167" i="9" s="1"/>
  <c r="J168" i="9" s="1"/>
  <c r="J119" i="9"/>
  <c r="J122" i="9" s="1"/>
  <c r="J123" i="9" s="1"/>
  <c r="AE14" i="9"/>
  <c r="AE15" i="9" s="1"/>
  <c r="H59" i="9"/>
  <c r="L83" i="9"/>
  <c r="L86" i="9" s="1"/>
  <c r="AD38" i="9"/>
  <c r="N182" i="9"/>
  <c r="N185" i="9" s="1"/>
  <c r="AD137" i="9"/>
  <c r="AD140" i="9" s="1"/>
  <c r="AD141" i="9" s="1"/>
  <c r="J137" i="9"/>
  <c r="J140" i="9" s="1"/>
  <c r="J141" i="9" s="1"/>
  <c r="H92" i="9"/>
  <c r="H95" i="9" s="1"/>
  <c r="H96" i="9" s="1"/>
  <c r="M200" i="9"/>
  <c r="M203" i="9" s="1"/>
  <c r="M204" i="9" s="1"/>
  <c r="AC137" i="9"/>
  <c r="R128" i="9"/>
  <c r="R131" i="9" s="1"/>
  <c r="R132" i="9" s="1"/>
  <c r="I101" i="9"/>
  <c r="I104" i="9" s="1"/>
  <c r="I105" i="9" s="1"/>
  <c r="AC173" i="9"/>
  <c r="AC176" i="9" s="1"/>
  <c r="AC177" i="9" s="1"/>
  <c r="L155" i="9"/>
  <c r="L158" i="9" s="1"/>
  <c r="L159" i="9" s="1"/>
  <c r="AE96" i="9"/>
  <c r="Y164" i="9"/>
  <c r="Y167" i="9" s="1"/>
  <c r="Y168" i="9" s="1"/>
  <c r="W56" i="9"/>
  <c r="W59" i="9" s="1"/>
  <c r="W60" i="9" s="1"/>
  <c r="AE164" i="9"/>
  <c r="H65" i="9"/>
  <c r="H68" i="9" s="1"/>
  <c r="AF87" i="9"/>
  <c r="F195" i="9"/>
  <c r="E128" i="9"/>
  <c r="E131" i="9" s="1"/>
  <c r="E132" i="9" s="1"/>
  <c r="O182" i="9"/>
  <c r="O185" i="9" s="1"/>
  <c r="O186" i="9" s="1"/>
  <c r="V137" i="9"/>
  <c r="V140" i="9" s="1"/>
  <c r="V141" i="9" s="1"/>
  <c r="AA83" i="9"/>
  <c r="AA86" i="9" s="1"/>
  <c r="AA87" i="9" s="1"/>
  <c r="AF167" i="9"/>
  <c r="AF168" i="9" s="1"/>
  <c r="T177" i="9"/>
  <c r="AA200" i="9"/>
  <c r="AA203" i="9" s="1"/>
  <c r="N186" i="9"/>
  <c r="T77" i="9"/>
  <c r="T78" i="9" s="1"/>
  <c r="E23" i="9"/>
  <c r="E24" i="9" s="1"/>
  <c r="J95" i="9"/>
  <c r="J96" i="9" s="1"/>
  <c r="T14" i="9"/>
  <c r="T15" i="9" s="1"/>
  <c r="AF137" i="9"/>
  <c r="R122" i="9"/>
  <c r="I95" i="9"/>
  <c r="N173" i="9"/>
  <c r="N176" i="9" s="1"/>
  <c r="F47" i="9"/>
  <c r="M74" i="9"/>
  <c r="M77" i="9" s="1"/>
  <c r="M78" i="9" s="1"/>
  <c r="S110" i="9"/>
  <c r="S113" i="9" s="1"/>
  <c r="S114" i="9" s="1"/>
  <c r="AH95" i="9"/>
  <c r="AH96" i="9" s="1"/>
  <c r="F96" i="9"/>
  <c r="Q68" i="9"/>
  <c r="Q69" i="9" s="1"/>
  <c r="V164" i="9"/>
  <c r="R68" i="9"/>
  <c r="R69" i="9" s="1"/>
  <c r="T86" i="9"/>
  <c r="T87" i="9" s="1"/>
  <c r="U113" i="9"/>
  <c r="U114" i="9" s="1"/>
  <c r="N92" i="9"/>
  <c r="N95" i="9" s="1"/>
  <c r="N96" i="9" s="1"/>
  <c r="AA131" i="9"/>
  <c r="AA132" i="9" s="1"/>
  <c r="J11" i="9"/>
  <c r="K29" i="9"/>
  <c r="I146" i="9"/>
  <c r="I149" i="9" s="1"/>
  <c r="I150" i="9" s="1"/>
  <c r="AG47" i="9"/>
  <c r="AB119" i="9"/>
  <c r="AB122" i="9" s="1"/>
  <c r="AB123" i="9" s="1"/>
  <c r="J74" i="9"/>
  <c r="J77" i="9" s="1"/>
  <c r="J78" i="9" s="1"/>
  <c r="W83" i="9"/>
  <c r="W86" i="9" s="1"/>
  <c r="W87" i="9" s="1"/>
  <c r="R182" i="9"/>
  <c r="R185" i="9" s="1"/>
  <c r="R186" i="9" s="1"/>
  <c r="K47" i="9"/>
  <c r="K50" i="9" s="1"/>
  <c r="P182" i="9"/>
  <c r="P185" i="9" s="1"/>
  <c r="AG74" i="9"/>
  <c r="F110" i="9"/>
  <c r="F113" i="9" s="1"/>
  <c r="F114" i="9" s="1"/>
  <c r="K173" i="9"/>
  <c r="K176" i="9" s="1"/>
  <c r="K177" i="9" s="1"/>
  <c r="O164" i="9"/>
  <c r="O167" i="9" s="1"/>
  <c r="O168" i="9" s="1"/>
  <c r="X137" i="9"/>
  <c r="X140" i="9" s="1"/>
  <c r="X141" i="9" s="1"/>
  <c r="G92" i="9"/>
  <c r="G95" i="9" s="1"/>
  <c r="G96" i="9" s="1"/>
  <c r="N119" i="9"/>
  <c r="E74" i="9"/>
  <c r="E113" i="9"/>
  <c r="E114" i="9" s="1"/>
  <c r="Z78" i="9"/>
  <c r="J149" i="9"/>
  <c r="K150" i="9"/>
  <c r="AF123" i="9"/>
  <c r="T191" i="9"/>
  <c r="T194" i="9" s="1"/>
  <c r="T195" i="9" s="1"/>
  <c r="AI29" i="9"/>
  <c r="AI32" i="9" s="1"/>
  <c r="AI56" i="9"/>
  <c r="AI59" i="9" s="1"/>
  <c r="AH186" i="9"/>
  <c r="O65" i="9"/>
  <c r="O68" i="9" s="1"/>
  <c r="O69" i="9" s="1"/>
  <c r="P101" i="9"/>
  <c r="AD177" i="9"/>
  <c r="G123" i="9"/>
  <c r="AD105" i="9"/>
  <c r="Q92" i="9"/>
  <c r="Q95" i="9" s="1"/>
  <c r="Q96" i="9" s="1"/>
  <c r="W155" i="9"/>
  <c r="W158" i="9" s="1"/>
  <c r="W159" i="9" s="1"/>
  <c r="V41" i="9"/>
  <c r="V42" i="9" s="1"/>
  <c r="N122" i="9"/>
  <c r="N123" i="9" s="1"/>
  <c r="J83" i="9"/>
  <c r="J86" i="9" s="1"/>
  <c r="J87" i="9" s="1"/>
  <c r="X168" i="9"/>
  <c r="T92" i="9"/>
  <c r="H15" i="9"/>
  <c r="Y47" i="9"/>
  <c r="Y50" i="9" s="1"/>
  <c r="Y51" i="9" s="1"/>
  <c r="J14" i="9"/>
  <c r="J15" i="9" s="1"/>
  <c r="O101" i="9"/>
  <c r="O104" i="9" s="1"/>
  <c r="O105" i="9" s="1"/>
  <c r="AE158" i="9"/>
  <c r="AE159" i="9" s="1"/>
  <c r="R38" i="9"/>
  <c r="R41" i="9" s="1"/>
  <c r="R42" i="9" s="1"/>
  <c r="AF140" i="9"/>
  <c r="AF141" i="9" s="1"/>
  <c r="W185" i="9"/>
  <c r="W186" i="9" s="1"/>
  <c r="I68" i="9"/>
  <c r="I69" i="9" s="1"/>
  <c r="AI60" i="9"/>
  <c r="R191" i="9"/>
  <c r="R194" i="9" s="1"/>
  <c r="R195" i="9" s="1"/>
  <c r="Z47" i="9"/>
  <c r="Z50" i="9" s="1"/>
  <c r="Z51" i="9" s="1"/>
  <c r="S29" i="9"/>
  <c r="S32" i="9" s="1"/>
  <c r="S33" i="9" s="1"/>
  <c r="AC38" i="9"/>
  <c r="AC41" i="9" s="1"/>
  <c r="AC42" i="9" s="1"/>
  <c r="E191" i="9"/>
  <c r="E194" i="9" s="1"/>
  <c r="E195" i="9" s="1"/>
  <c r="L95" i="9"/>
  <c r="L96" i="9" s="1"/>
  <c r="AA110" i="9"/>
  <c r="AA113" i="9" s="1"/>
  <c r="AA114" i="9" s="1"/>
  <c r="AB159" i="9"/>
  <c r="G65" i="9"/>
  <c r="G68" i="9" s="1"/>
  <c r="G69" i="9" s="1"/>
  <c r="AC60" i="9"/>
  <c r="I32" i="9"/>
  <c r="I33" i="9" s="1"/>
  <c r="P38" i="9"/>
  <c r="P41" i="9" s="1"/>
  <c r="P42" i="9" s="1"/>
  <c r="S92" i="9"/>
  <c r="S95" i="9" s="1"/>
  <c r="S96" i="9" s="1"/>
  <c r="U155" i="9"/>
  <c r="U158" i="9" s="1"/>
  <c r="U159" i="9" s="1"/>
  <c r="AA14" i="9"/>
  <c r="AG11" i="9"/>
  <c r="AG14" i="9" s="1"/>
  <c r="AG15" i="9" s="1"/>
  <c r="Z101" i="9"/>
  <c r="Z104" i="9" s="1"/>
  <c r="E200" i="9"/>
  <c r="E203" i="9" s="1"/>
  <c r="E204" i="9" s="1"/>
  <c r="N11" i="9"/>
  <c r="N14" i="9" s="1"/>
  <c r="N15" i="9" s="1"/>
  <c r="Q182" i="9"/>
  <c r="Q185" i="9" s="1"/>
  <c r="Q101" i="9"/>
  <c r="AH110" i="9"/>
  <c r="AH113" i="9" s="1"/>
  <c r="AH114" i="9" s="1"/>
  <c r="G113" i="9"/>
  <c r="G114" i="9" s="1"/>
  <c r="F119" i="9"/>
  <c r="F122" i="9" s="1"/>
  <c r="F123" i="9" s="1"/>
  <c r="O114" i="9"/>
  <c r="M11" i="9"/>
  <c r="M14" i="9" s="1"/>
  <c r="T20" i="9"/>
  <c r="T23" i="9" s="1"/>
  <c r="E167" i="9"/>
  <c r="AH167" i="9"/>
  <c r="AH168" i="9" s="1"/>
  <c r="AB110" i="9"/>
  <c r="AB113" i="9" s="1"/>
  <c r="AB114" i="9" s="1"/>
  <c r="M173" i="9"/>
  <c r="M176" i="9" s="1"/>
  <c r="M177" i="9" s="1"/>
  <c r="AF74" i="9"/>
  <c r="AF77" i="9" s="1"/>
  <c r="V110" i="9"/>
  <c r="V113" i="9" s="1"/>
  <c r="V114" i="9" s="1"/>
  <c r="Z176" i="9"/>
  <c r="Z177" i="9" s="1"/>
  <c r="F38" i="9"/>
  <c r="F41" i="9" s="1"/>
  <c r="F42" i="9" s="1"/>
  <c r="R29" i="9"/>
  <c r="R32" i="9" s="1"/>
  <c r="R33" i="9" s="1"/>
  <c r="R20" i="9"/>
  <c r="R23" i="9" s="1"/>
  <c r="AG77" i="9"/>
  <c r="AG78" i="9" s="1"/>
  <c r="T119" i="9"/>
  <c r="T122" i="9" s="1"/>
  <c r="T123" i="9" s="1"/>
  <c r="U164" i="9"/>
  <c r="U167" i="9" s="1"/>
  <c r="AE56" i="9"/>
  <c r="AE59" i="9" s="1"/>
  <c r="AE60" i="9" s="1"/>
  <c r="G83" i="9"/>
  <c r="G86" i="9" s="1"/>
  <c r="U200" i="9"/>
  <c r="U203" i="9" s="1"/>
  <c r="U204" i="9" s="1"/>
  <c r="J56" i="9"/>
  <c r="J59" i="9" s="1"/>
  <c r="J60" i="9" s="1"/>
  <c r="N200" i="9"/>
  <c r="N203" i="9" s="1"/>
  <c r="N204" i="9" s="1"/>
  <c r="J128" i="9"/>
  <c r="J131" i="9" s="1"/>
  <c r="J132" i="9" s="1"/>
  <c r="AD119" i="9"/>
  <c r="AD122" i="9" s="1"/>
  <c r="AD123" i="9" s="1"/>
  <c r="T110" i="9"/>
  <c r="AD15" i="9"/>
  <c r="AC29" i="9"/>
  <c r="AC32" i="9" s="1"/>
  <c r="AC33" i="9" s="1"/>
  <c r="N146" i="9"/>
  <c r="N149" i="9" s="1"/>
  <c r="N150" i="9" s="1"/>
  <c r="M164" i="9"/>
  <c r="M167" i="9" s="1"/>
  <c r="M168" i="9" s="1"/>
  <c r="Q38" i="9"/>
  <c r="Q41" i="9" s="1"/>
  <c r="Q42" i="9" s="1"/>
  <c r="U149" i="9"/>
  <c r="U150" i="9" s="1"/>
  <c r="AA164" i="9"/>
  <c r="AA167" i="9" s="1"/>
  <c r="AA168" i="9" s="1"/>
  <c r="L65" i="9"/>
  <c r="L68" i="9" s="1"/>
  <c r="L69" i="9" s="1"/>
  <c r="AA191" i="9"/>
  <c r="AI122" i="9"/>
  <c r="AI123" i="9" s="1"/>
  <c r="AI92" i="9"/>
  <c r="AI95" i="9" s="1"/>
  <c r="AI96" i="9" s="1"/>
  <c r="AE74" i="9"/>
  <c r="AE77" i="9" s="1"/>
  <c r="AE78" i="9" s="1"/>
  <c r="Y29" i="9"/>
  <c r="Y32" i="9" s="1"/>
  <c r="Y33" i="9" s="1"/>
  <c r="E65" i="9"/>
  <c r="E68" i="9" s="1"/>
  <c r="E69" i="9" s="1"/>
  <c r="O20" i="9"/>
  <c r="O23" i="9" s="1"/>
  <c r="O24" i="9" s="1"/>
  <c r="F50" i="9"/>
  <c r="F51" i="9" s="1"/>
  <c r="E92" i="9"/>
  <c r="E95" i="9" s="1"/>
  <c r="E96" i="9" s="1"/>
  <c r="T59" i="9"/>
  <c r="AE140" i="9"/>
  <c r="AE141" i="9" s="1"/>
  <c r="N50" i="9"/>
  <c r="N51" i="9" s="1"/>
  <c r="Z38" i="9"/>
  <c r="Z41" i="9" s="1"/>
  <c r="Z42" i="9" s="1"/>
  <c r="AG203" i="9"/>
  <c r="AG204" i="9" s="1"/>
  <c r="E101" i="9"/>
  <c r="E104" i="9" s="1"/>
  <c r="E105" i="9" s="1"/>
  <c r="I119" i="9"/>
  <c r="I122" i="9" s="1"/>
  <c r="T182" i="9"/>
  <c r="T185" i="9" s="1"/>
  <c r="T186" i="9" s="1"/>
  <c r="AC101" i="9"/>
  <c r="AC104" i="9" s="1"/>
  <c r="AC105" i="9" s="1"/>
  <c r="M128" i="9"/>
  <c r="M131" i="9" s="1"/>
  <c r="M132" i="9" s="1"/>
  <c r="P11" i="9"/>
  <c r="W137" i="9"/>
  <c r="W140" i="9" s="1"/>
  <c r="W141" i="9" s="1"/>
  <c r="L74" i="9"/>
  <c r="U83" i="9"/>
  <c r="U86" i="9" s="1"/>
  <c r="U87" i="9" s="1"/>
  <c r="AB65" i="9"/>
  <c r="AB68" i="9" s="1"/>
  <c r="AB69" i="9" s="1"/>
  <c r="W11" i="9"/>
  <c r="W14" i="9" s="1"/>
  <c r="W15" i="9" s="1"/>
  <c r="AD182" i="9"/>
  <c r="AD185" i="9" s="1"/>
  <c r="AD186" i="9" s="1"/>
  <c r="M119" i="9"/>
  <c r="M122" i="9" s="1"/>
  <c r="M123" i="9" s="1"/>
  <c r="V173" i="9"/>
  <c r="V176" i="9" s="1"/>
  <c r="V177" i="9" s="1"/>
  <c r="P77" i="9"/>
  <c r="P78" i="9" s="1"/>
  <c r="S14" i="9"/>
  <c r="S15" i="9" s="1"/>
  <c r="J110" i="9"/>
  <c r="J113" i="9" s="1"/>
  <c r="J114" i="9" s="1"/>
  <c r="Y119" i="9"/>
  <c r="Y122" i="9" s="1"/>
  <c r="Y123" i="9" s="1"/>
  <c r="AF173" i="9"/>
  <c r="AF176" i="9" s="1"/>
  <c r="AF177" i="9" s="1"/>
  <c r="S68" i="9"/>
  <c r="S69" i="9" s="1"/>
  <c r="T38" i="9"/>
  <c r="T41" i="9" s="1"/>
  <c r="T42" i="9" s="1"/>
  <c r="P20" i="9"/>
  <c r="P23" i="9" s="1"/>
  <c r="I200" i="9"/>
  <c r="G137" i="9"/>
  <c r="G140" i="9" s="1"/>
  <c r="G141" i="9" s="1"/>
  <c r="M15" i="9"/>
  <c r="Y150" i="9"/>
  <c r="I23" i="9"/>
  <c r="I24" i="9" s="1"/>
  <c r="O176" i="9"/>
  <c r="O177" i="9" s="1"/>
  <c r="L176" i="9"/>
  <c r="L177" i="9" s="1"/>
  <c r="AG50" i="9"/>
  <c r="AG51" i="9" s="1"/>
  <c r="Q149" i="9"/>
  <c r="Q150" i="9" s="1"/>
  <c r="Z194" i="9"/>
  <c r="Z195" i="9" s="1"/>
  <c r="Z95" i="9"/>
  <c r="Z96" i="9" s="1"/>
  <c r="K51" i="9"/>
  <c r="E140" i="9"/>
  <c r="E141" i="9" s="1"/>
  <c r="AD74" i="9"/>
  <c r="AD77" i="9" s="1"/>
  <c r="AD78" i="9" s="1"/>
  <c r="AG146" i="9"/>
  <c r="AG149" i="9" s="1"/>
  <c r="N101" i="9"/>
  <c r="N104" i="9" s="1"/>
  <c r="J150" i="9"/>
  <c r="M92" i="9"/>
  <c r="M95" i="9" s="1"/>
  <c r="M96" i="9" s="1"/>
  <c r="AA56" i="9"/>
  <c r="AA59" i="9" s="1"/>
  <c r="AA60" i="9" s="1"/>
  <c r="W20" i="9"/>
  <c r="W23" i="9" s="1"/>
  <c r="W24" i="9" s="1"/>
  <c r="AE167" i="9"/>
  <c r="AE168" i="9" s="1"/>
  <c r="AC119" i="9"/>
  <c r="Y83" i="9"/>
  <c r="Y86" i="9" s="1"/>
  <c r="Y87" i="9" s="1"/>
  <c r="V101" i="9"/>
  <c r="V104" i="9" s="1"/>
  <c r="V105" i="9" s="1"/>
  <c r="O95" i="9"/>
  <c r="O96" i="9" s="1"/>
  <c r="K20" i="9"/>
  <c r="K23" i="9" s="1"/>
  <c r="K24" i="9" s="1"/>
  <c r="K86" i="9"/>
  <c r="AB203" i="9"/>
  <c r="AB204" i="9" s="1"/>
  <c r="L38" i="9"/>
  <c r="L41" i="9" s="1"/>
  <c r="O191" i="9"/>
  <c r="O194" i="9" s="1"/>
  <c r="O195" i="9" s="1"/>
  <c r="Z113" i="9"/>
  <c r="Z114" i="9" s="1"/>
  <c r="T101" i="9"/>
  <c r="T104" i="9" s="1"/>
  <c r="N159" i="9"/>
  <c r="AG132" i="9"/>
  <c r="P29" i="9"/>
  <c r="R167" i="9"/>
  <c r="R168" i="9" s="1"/>
  <c r="T159" i="9"/>
  <c r="O77" i="9"/>
  <c r="O78" i="9" s="1"/>
  <c r="J29" i="9"/>
  <c r="J32" i="9" s="1"/>
  <c r="J33" i="9" s="1"/>
  <c r="U182" i="9"/>
  <c r="U185" i="9" s="1"/>
  <c r="U186" i="9" s="1"/>
  <c r="AG38" i="9"/>
  <c r="AG41" i="9" s="1"/>
  <c r="AG42" i="9" s="1"/>
  <c r="AE24" i="9"/>
  <c r="Q186" i="9"/>
  <c r="L42" i="9"/>
  <c r="F131" i="9"/>
  <c r="F132" i="9" s="1"/>
  <c r="T113" i="9"/>
  <c r="AE29" i="9"/>
  <c r="AE32" i="9" s="1"/>
  <c r="AE33" i="9" s="1"/>
  <c r="AF110" i="9"/>
  <c r="AF113" i="9" s="1"/>
  <c r="AF114" i="9" s="1"/>
  <c r="I123" i="9"/>
  <c r="O150" i="9"/>
  <c r="T131" i="9"/>
  <c r="T132" i="9" s="1"/>
  <c r="AI86" i="9"/>
  <c r="AG194" i="9"/>
  <c r="AG195" i="9" s="1"/>
  <c r="V122" i="9"/>
  <c r="V123" i="9" s="1"/>
  <c r="AI191" i="9"/>
  <c r="AI194" i="9" s="1"/>
  <c r="AI195" i="9" s="1"/>
  <c r="W195" i="9"/>
  <c r="L194" i="9"/>
  <c r="L195" i="9" s="1"/>
  <c r="AD41" i="9"/>
  <c r="AD42" i="9" s="1"/>
  <c r="X131" i="9"/>
  <c r="X132" i="9" s="1"/>
  <c r="AD68" i="9"/>
  <c r="AD69" i="9" s="1"/>
  <c r="AD83" i="9"/>
  <c r="AD86" i="9" s="1"/>
  <c r="AD87" i="9" s="1"/>
  <c r="L146" i="9"/>
  <c r="L149" i="9" s="1"/>
  <c r="L150" i="9" s="1"/>
  <c r="E168" i="9"/>
  <c r="H60" i="9"/>
  <c r="AA15" i="9"/>
  <c r="W173" i="9"/>
  <c r="W176" i="9" s="1"/>
  <c r="W177" i="9" s="1"/>
  <c r="I203" i="9"/>
  <c r="I204" i="9" s="1"/>
  <c r="Z168" i="9"/>
  <c r="J47" i="9"/>
  <c r="J50" i="9" s="1"/>
  <c r="J51" i="9" s="1"/>
  <c r="H173" i="9"/>
  <c r="H176" i="9" s="1"/>
  <c r="H177" i="9" s="1"/>
  <c r="AE41" i="9"/>
  <c r="AE42" i="9" s="1"/>
  <c r="P119" i="9"/>
  <c r="P122" i="9" s="1"/>
  <c r="P123" i="9" s="1"/>
  <c r="I74" i="9"/>
  <c r="I77" i="9" s="1"/>
  <c r="I78" i="9" s="1"/>
  <c r="U47" i="9"/>
  <c r="U50" i="9" s="1"/>
  <c r="U51" i="9" s="1"/>
  <c r="W92" i="9"/>
  <c r="W95" i="9" s="1"/>
  <c r="W96" i="9" s="1"/>
  <c r="E77" i="9"/>
  <c r="E78" i="9" s="1"/>
  <c r="Y191" i="9"/>
  <c r="Y194" i="9" s="1"/>
  <c r="Y195" i="9" s="1"/>
  <c r="Y159" i="9"/>
  <c r="G29" i="9"/>
  <c r="G32" i="9" s="1"/>
  <c r="G33" i="9" s="1"/>
  <c r="H182" i="9"/>
  <c r="H185" i="9" s="1"/>
  <c r="H186" i="9" s="1"/>
  <c r="P32" i="9"/>
  <c r="P33" i="9" s="1"/>
  <c r="J185" i="9"/>
  <c r="J186" i="9" s="1"/>
  <c r="L101" i="9"/>
  <c r="L104" i="9" s="1"/>
  <c r="L105" i="9" s="1"/>
  <c r="AA204" i="9"/>
  <c r="X110" i="9"/>
  <c r="X113" i="9" s="1"/>
  <c r="X114" i="9" s="1"/>
  <c r="F105" i="9"/>
  <c r="G176" i="9"/>
  <c r="G177" i="9" s="1"/>
  <c r="G131" i="9"/>
  <c r="G132" i="9" s="1"/>
  <c r="P56" i="9"/>
  <c r="P59" i="9" s="1"/>
  <c r="P60" i="9" s="1"/>
  <c r="I86" i="9"/>
  <c r="I87" i="9" s="1"/>
  <c r="G182" i="9"/>
  <c r="G185" i="9" s="1"/>
  <c r="G186" i="9" s="1"/>
  <c r="X65" i="9"/>
  <c r="X68" i="9" s="1"/>
  <c r="I137" i="9"/>
  <c r="I140" i="9" s="1"/>
  <c r="I141" i="9" s="1"/>
  <c r="H110" i="9"/>
  <c r="H113" i="9" s="1"/>
  <c r="H114" i="9" s="1"/>
  <c r="L56" i="9"/>
  <c r="L59" i="9" s="1"/>
  <c r="L60" i="9" s="1"/>
  <c r="AH200" i="9"/>
  <c r="AH203" i="9" s="1"/>
  <c r="S101" i="9"/>
  <c r="S104" i="9" s="1"/>
  <c r="S105" i="9" s="1"/>
  <c r="AC113" i="9"/>
  <c r="AC114" i="9" s="1"/>
  <c r="V56" i="9"/>
  <c r="V59" i="9" s="1"/>
  <c r="V60" i="9" s="1"/>
  <c r="AH47" i="9"/>
  <c r="AH50" i="9" s="1"/>
  <c r="AH51" i="9" s="1"/>
  <c r="AD29" i="9"/>
  <c r="AD32" i="9" s="1"/>
  <c r="AD33" i="9" s="1"/>
  <c r="J200" i="9"/>
  <c r="J203" i="9" s="1"/>
  <c r="J204" i="9" s="1"/>
  <c r="Y137" i="9"/>
  <c r="Y140" i="9" s="1"/>
  <c r="Y141" i="9" s="1"/>
  <c r="V167" i="9"/>
  <c r="V168" i="9" s="1"/>
  <c r="Q140" i="9"/>
  <c r="Q141" i="9" s="1"/>
  <c r="K159" i="9"/>
  <c r="X146" i="9"/>
  <c r="X149" i="9" s="1"/>
  <c r="X150" i="9" s="1"/>
  <c r="U29" i="9"/>
  <c r="U32" i="9" s="1"/>
  <c r="U33" i="9" s="1"/>
  <c r="AC122" i="9"/>
  <c r="AC123" i="9" s="1"/>
  <c r="J20" i="9"/>
  <c r="J23" i="9" s="1"/>
  <c r="J24" i="9" s="1"/>
  <c r="W65" i="9"/>
  <c r="W68" i="9" s="1"/>
  <c r="W69" i="9" s="1"/>
  <c r="S20" i="9"/>
  <c r="S23" i="9" s="1"/>
  <c r="S24" i="9" s="1"/>
  <c r="Q164" i="9"/>
  <c r="Q167" i="9" s="1"/>
  <c r="Q168" i="9" s="1"/>
  <c r="AA95" i="9"/>
  <c r="AA96" i="9" s="1"/>
  <c r="L11" i="9"/>
  <c r="L14" i="9" s="1"/>
  <c r="L15" i="9" s="1"/>
  <c r="P186" i="9"/>
  <c r="L137" i="9"/>
  <c r="L140" i="9" s="1"/>
  <c r="L141" i="9" s="1"/>
  <c r="I38" i="9"/>
  <c r="I41" i="9" s="1"/>
  <c r="O38" i="9"/>
  <c r="O41" i="9" s="1"/>
  <c r="AG173" i="9"/>
  <c r="AG176" i="9" s="1"/>
  <c r="AG177" i="9" s="1"/>
  <c r="K182" i="9"/>
  <c r="K185" i="9" s="1"/>
  <c r="K186" i="9" s="1"/>
  <c r="T95" i="9"/>
  <c r="T96" i="9" s="1"/>
  <c r="H128" i="9"/>
  <c r="P24" i="9"/>
  <c r="AE128" i="9"/>
  <c r="AE131" i="9" s="1"/>
  <c r="AE132" i="9" s="1"/>
  <c r="AH83" i="9"/>
  <c r="AH86" i="9" s="1"/>
  <c r="AH87" i="9" s="1"/>
  <c r="AI47" i="9"/>
  <c r="AI50" i="9" s="1"/>
  <c r="AI51" i="9" s="1"/>
  <c r="Y38" i="9"/>
  <c r="Y41" i="9" s="1"/>
  <c r="Y42" i="9" s="1"/>
  <c r="O132" i="9"/>
  <c r="Y65" i="9"/>
  <c r="Y68" i="9" s="1"/>
  <c r="Y69" i="9" s="1"/>
  <c r="N140" i="9"/>
  <c r="N141" i="9" s="1"/>
  <c r="AH131" i="9"/>
  <c r="AH132" i="9" s="1"/>
  <c r="AA194" i="9"/>
  <c r="AA195" i="9" s="1"/>
  <c r="I155" i="9"/>
  <c r="I158" i="9" s="1"/>
  <c r="I159" i="9" s="1"/>
  <c r="F83" i="9"/>
  <c r="F86" i="9" s="1"/>
  <c r="F87" i="9" s="1"/>
  <c r="AB131" i="9"/>
  <c r="AC20" i="9"/>
  <c r="AC23" i="9" s="1"/>
  <c r="AC24" i="9" s="1"/>
  <c r="R113" i="9"/>
  <c r="R114" i="9" s="1"/>
  <c r="F20" i="9"/>
  <c r="R140" i="9"/>
  <c r="R141" i="9" s="1"/>
  <c r="F56" i="9"/>
  <c r="F59" i="9" s="1"/>
  <c r="F60" i="9" s="1"/>
  <c r="P83" i="9"/>
  <c r="P86" i="9" s="1"/>
  <c r="P87" i="9" s="1"/>
  <c r="P104" i="9"/>
  <c r="P105" i="9" s="1"/>
  <c r="X200" i="9"/>
  <c r="X203" i="9" s="1"/>
  <c r="X204" i="9" s="1"/>
  <c r="V131" i="9"/>
  <c r="V132" i="9" s="1"/>
  <c r="X182" i="9"/>
  <c r="X185" i="9" s="1"/>
  <c r="X186" i="9" s="1"/>
  <c r="Z200" i="9"/>
  <c r="Z203" i="9" s="1"/>
  <c r="Z204" i="9" s="1"/>
  <c r="AC140" i="9"/>
  <c r="AC141" i="9" s="1"/>
  <c r="AB101" i="9"/>
  <c r="AB104" i="9" s="1"/>
  <c r="AB105" i="9" s="1"/>
  <c r="AB96" i="9"/>
  <c r="E56" i="9"/>
  <c r="E59" i="9" s="1"/>
  <c r="E60" i="9" s="1"/>
  <c r="M101" i="9"/>
  <c r="M104" i="9" s="1"/>
  <c r="M105" i="9" s="1"/>
  <c r="O47" i="9"/>
  <c r="O50" i="9" s="1"/>
  <c r="X92" i="9"/>
  <c r="X95" i="9" s="1"/>
  <c r="X96" i="9" s="1"/>
  <c r="Y182" i="9"/>
  <c r="Y185" i="9" s="1"/>
  <c r="Y186" i="9" s="1"/>
  <c r="H119" i="9"/>
  <c r="H122" i="9" s="1"/>
  <c r="H123" i="9" s="1"/>
  <c r="R123" i="9"/>
  <c r="AH204" i="9"/>
  <c r="H101" i="9"/>
  <c r="H104" i="9" s="1"/>
  <c r="H105" i="9" s="1"/>
  <c r="AC68" i="9"/>
  <c r="AC69" i="9" s="1"/>
  <c r="U56" i="9"/>
  <c r="U59" i="9" s="1"/>
  <c r="U60" i="9" s="1"/>
  <c r="V14" i="9"/>
  <c r="V15" i="9" s="1"/>
  <c r="R24" i="9"/>
  <c r="G14" i="9"/>
  <c r="G15" i="9" s="1"/>
  <c r="AH173" i="9"/>
  <c r="AH176" i="9" s="1"/>
  <c r="AH177" i="9" s="1"/>
  <c r="AC92" i="9"/>
  <c r="AC95" i="9" s="1"/>
  <c r="AC96" i="9" s="1"/>
  <c r="Q23" i="9"/>
  <c r="Q24" i="9" s="1"/>
  <c r="H137" i="9"/>
  <c r="H140" i="9" s="1"/>
  <c r="H141" i="9" s="1"/>
  <c r="AC182" i="9"/>
  <c r="AC185" i="9" s="1"/>
  <c r="AC186" i="9" s="1"/>
  <c r="W122" i="9"/>
  <c r="W123" i="9" s="1"/>
  <c r="V23" i="9"/>
  <c r="V24" i="9" s="1"/>
  <c r="N191" i="9"/>
  <c r="N194" i="9" s="1"/>
  <c r="N195" i="9" s="1"/>
  <c r="S56" i="9"/>
  <c r="S59" i="9" s="1"/>
  <c r="S60" i="9" s="1"/>
  <c r="P14" i="9"/>
  <c r="P15" i="9" s="1"/>
  <c r="AF20" i="9"/>
  <c r="AF23" i="9" s="1"/>
  <c r="AF24" i="9" s="1"/>
  <c r="F77" i="9"/>
  <c r="F78" i="9" s="1"/>
  <c r="AB182" i="9"/>
  <c r="AB185" i="9" s="1"/>
  <c r="AB186" i="9" s="1"/>
  <c r="AI200" i="9"/>
  <c r="AI203" i="9" s="1"/>
  <c r="AI204" i="9" s="1"/>
  <c r="N110" i="9"/>
  <c r="N113" i="9" s="1"/>
  <c r="N114" i="9" s="1"/>
  <c r="Q110" i="9"/>
  <c r="Q113" i="9" s="1"/>
  <c r="Q114" i="9" s="1"/>
  <c r="M56" i="9"/>
  <c r="M59" i="9" s="1"/>
  <c r="M60" i="9" s="1"/>
  <c r="AE182" i="9"/>
  <c r="AE185" i="9" s="1"/>
  <c r="AE186" i="9" s="1"/>
  <c r="M38" i="9"/>
  <c r="M41" i="9" s="1"/>
  <c r="M42" i="9" s="1"/>
  <c r="I182" i="9"/>
  <c r="I185" i="9" s="1"/>
  <c r="I186" i="9" s="1"/>
  <c r="U101" i="9"/>
  <c r="U104" i="9" s="1"/>
  <c r="U105" i="9" s="1"/>
  <c r="G56" i="9"/>
  <c r="G59" i="9" s="1"/>
  <c r="G60" i="9" s="1"/>
  <c r="U65" i="9"/>
  <c r="U68" i="9" s="1"/>
  <c r="U69" i="9" s="1"/>
  <c r="O29" i="9"/>
  <c r="O32" i="9" s="1"/>
  <c r="O33" i="9" s="1"/>
  <c r="I56" i="9"/>
  <c r="I59" i="9" s="1"/>
  <c r="I60" i="9" s="1"/>
  <c r="Z137" i="9"/>
  <c r="Z140" i="9" s="1"/>
  <c r="Z141" i="9" s="1"/>
  <c r="N65" i="9"/>
  <c r="N68" i="9" s="1"/>
  <c r="N69" i="9" s="1"/>
  <c r="AG29" i="9"/>
  <c r="AG32" i="9" s="1"/>
  <c r="AG33" i="9" s="1"/>
  <c r="AD96" i="9"/>
  <c r="Z167" i="9"/>
  <c r="AF65" i="9"/>
  <c r="AF68" i="9" s="1"/>
  <c r="X20" i="9"/>
  <c r="X23" i="9" s="1"/>
  <c r="AG92" i="9"/>
  <c r="AG95" i="9" s="1"/>
  <c r="AG96" i="9" s="1"/>
  <c r="AC74" i="9"/>
  <c r="AC77" i="9" s="1"/>
  <c r="AC78" i="9" s="1"/>
  <c r="S38" i="9"/>
  <c r="S41" i="9" s="1"/>
  <c r="S42" i="9" s="1"/>
  <c r="M155" i="9"/>
  <c r="M158" i="9" s="1"/>
  <c r="M159" i="9" s="1"/>
  <c r="AG101" i="9"/>
  <c r="AG104" i="9" s="1"/>
  <c r="AG105" i="9" s="1"/>
  <c r="M47" i="9"/>
  <c r="M50" i="9" s="1"/>
  <c r="M51" i="9" s="1"/>
  <c r="Q200" i="9"/>
  <c r="Q203" i="9" s="1"/>
  <c r="Q204" i="9" s="1"/>
  <c r="M185" i="9"/>
  <c r="M186" i="9" s="1"/>
  <c r="AA38" i="9"/>
  <c r="AA41" i="9" s="1"/>
  <c r="AA42" i="9" s="1"/>
  <c r="L77" i="9"/>
  <c r="L78" i="9" s="1"/>
  <c r="AE47" i="9"/>
  <c r="AE50" i="9" s="1"/>
  <c r="AE51" i="9" s="1"/>
  <c r="H47" i="9"/>
  <c r="H50" i="9" s="1"/>
  <c r="H51" i="9" s="1"/>
  <c r="F173" i="9"/>
  <c r="F176" i="9" s="1"/>
  <c r="K65" i="9"/>
  <c r="K68" i="9" s="1"/>
  <c r="W74" i="9"/>
  <c r="W77" i="9" s="1"/>
  <c r="W78" i="9" s="1"/>
  <c r="K38" i="9"/>
  <c r="K41" i="9" s="1"/>
  <c r="K42" i="9" s="1"/>
  <c r="U140" i="9"/>
  <c r="U141" i="9" s="1"/>
  <c r="Q11" i="9"/>
  <c r="Q14" i="9" s="1"/>
  <c r="Q15" i="9" s="1"/>
  <c r="H38" i="9"/>
  <c r="H41" i="9" s="1"/>
  <c r="H42" i="9" s="1"/>
  <c r="Z65" i="9"/>
  <c r="Z68" i="9" s="1"/>
  <c r="Z69" i="9" s="1"/>
  <c r="Y110" i="9"/>
  <c r="Y113" i="9" s="1"/>
  <c r="J65" i="9"/>
  <c r="J68" i="9" s="1"/>
  <c r="J69" i="9" s="1"/>
  <c r="E11" i="9"/>
  <c r="E14" i="9" s="1"/>
  <c r="E15" i="9" s="1"/>
  <c r="T114" i="9"/>
  <c r="H20" i="9"/>
  <c r="H23" i="9" s="1"/>
  <c r="H24" i="9" s="1"/>
  <c r="AH38" i="9"/>
  <c r="AH41" i="9" s="1"/>
  <c r="AH42" i="9" s="1"/>
  <c r="T128" i="9"/>
  <c r="L47" i="9"/>
  <c r="L50" i="9" s="1"/>
  <c r="L51" i="9" s="1"/>
  <c r="AC11" i="9"/>
  <c r="AC14" i="9" s="1"/>
  <c r="AC15" i="9" s="1"/>
  <c r="K137" i="9"/>
  <c r="K140" i="9" s="1"/>
  <c r="K141" i="9" s="1"/>
  <c r="U168" i="9"/>
  <c r="Q104" i="9"/>
  <c r="Q105" i="9" s="1"/>
  <c r="L110" i="9"/>
  <c r="L113" i="9" s="1"/>
  <c r="L114" i="9" s="1"/>
  <c r="O11" i="9"/>
  <c r="O14" i="9" s="1"/>
  <c r="O15" i="9" s="1"/>
  <c r="U92" i="9"/>
  <c r="U95" i="9" s="1"/>
  <c r="U96" i="9" s="1"/>
  <c r="P92" i="9"/>
  <c r="P95" i="9" s="1"/>
  <c r="P96" i="9" s="1"/>
  <c r="Q119" i="9"/>
  <c r="Q122" i="9" s="1"/>
  <c r="Q123" i="9" s="1"/>
  <c r="AA74" i="9"/>
  <c r="AA77" i="9" s="1"/>
  <c r="AA78" i="9" s="1"/>
  <c r="U11" i="9"/>
  <c r="U14" i="9" s="1"/>
  <c r="U15" i="9" s="1"/>
  <c r="AD24" i="9"/>
  <c r="K32" i="9"/>
  <c r="K33" i="9" s="1"/>
  <c r="H164" i="9"/>
  <c r="H167" i="9" s="1"/>
  <c r="H168" i="9" s="1"/>
  <c r="E50" i="9"/>
  <c r="E51" i="9" s="1"/>
  <c r="AF78" i="9"/>
  <c r="AI87" i="9"/>
  <c r="O51" i="9"/>
  <c r="AA47" i="9"/>
  <c r="AA50" i="9" s="1"/>
  <c r="AA51" i="9" s="1"/>
  <c r="W38" i="9"/>
  <c r="W41" i="9" s="1"/>
  <c r="P69" i="9"/>
  <c r="K114" i="9"/>
  <c r="K69" i="9"/>
  <c r="AF186" i="9"/>
  <c r="X155" i="9"/>
  <c r="X158" i="9" s="1"/>
  <c r="X159" i="9" s="1"/>
  <c r="X69" i="9"/>
  <c r="H69" i="9"/>
  <c r="H131" i="9"/>
  <c r="H132" i="9" s="1"/>
  <c r="T60" i="9"/>
  <c r="AA20" i="9"/>
  <c r="AA23" i="9" s="1"/>
  <c r="AA24" i="9" s="1"/>
  <c r="T24" i="9"/>
  <c r="E42" i="9"/>
  <c r="X74" i="9"/>
  <c r="X77" i="9" s="1"/>
  <c r="X78" i="9" s="1"/>
  <c r="F177" i="9"/>
  <c r="AH20" i="9"/>
  <c r="AH23" i="9" s="1"/>
  <c r="AH24" i="9" s="1"/>
  <c r="P159" i="9"/>
  <c r="X119" i="9"/>
  <c r="X122" i="9" s="1"/>
  <c r="X123" i="9" s="1"/>
  <c r="T105" i="9"/>
  <c r="Q47" i="9"/>
  <c r="Q50" i="9" s="1"/>
  <c r="Y74" i="9"/>
  <c r="Y77" i="9" s="1"/>
  <c r="Y78" i="9" s="1"/>
  <c r="F155" i="9"/>
  <c r="F158" i="9" s="1"/>
  <c r="F159" i="9" s="1"/>
  <c r="S83" i="9"/>
  <c r="S86" i="9" s="1"/>
  <c r="S87" i="9" s="1"/>
  <c r="N132" i="9"/>
  <c r="AE65" i="9"/>
  <c r="AE68" i="9" s="1"/>
  <c r="AE69" i="9" s="1"/>
  <c r="H74" i="9"/>
  <c r="H77" i="9" s="1"/>
  <c r="H78" i="9" s="1"/>
  <c r="Z86" i="9"/>
  <c r="Z87" i="9" s="1"/>
  <c r="P140" i="9"/>
  <c r="P141" i="9" s="1"/>
  <c r="Q74" i="9"/>
  <c r="Q77" i="9" s="1"/>
  <c r="Q78" i="9" s="1"/>
  <c r="AG110" i="9"/>
  <c r="AG113" i="9" s="1"/>
  <c r="AG114" i="9" s="1"/>
  <c r="K87" i="9"/>
  <c r="AI11" i="9"/>
  <c r="AI14" i="9" s="1"/>
  <c r="AI15" i="9" s="1"/>
  <c r="S191" i="9"/>
  <c r="S194" i="9" s="1"/>
  <c r="S195" i="9" s="1"/>
  <c r="Q87" i="9"/>
  <c r="M20" i="9"/>
  <c r="M23" i="9" s="1"/>
  <c r="M24" i="9" s="1"/>
  <c r="S137" i="9"/>
  <c r="S140" i="9" s="1"/>
  <c r="S141" i="9" s="1"/>
  <c r="Q60" i="9"/>
  <c r="AB146" i="9"/>
  <c r="AB149" i="9" s="1"/>
  <c r="AB150" i="9" s="1"/>
  <c r="P146" i="9"/>
  <c r="P149" i="9" s="1"/>
  <c r="P150" i="9" s="1"/>
  <c r="X87" i="9"/>
  <c r="U195" i="9"/>
  <c r="K78" i="9"/>
  <c r="AB132" i="9"/>
  <c r="I96" i="9"/>
  <c r="J38" i="9"/>
  <c r="J41" i="9" s="1"/>
  <c r="J42" i="9" s="1"/>
  <c r="X56" i="9"/>
  <c r="X59" i="9" s="1"/>
  <c r="X60" i="9" s="1"/>
  <c r="AF38" i="9"/>
  <c r="AF41" i="9" s="1"/>
  <c r="AF42" i="9" s="1"/>
  <c r="AA119" i="9"/>
  <c r="AA122" i="9" s="1"/>
  <c r="AA123" i="9" s="1"/>
  <c r="I11" i="9"/>
  <c r="I14" i="9" s="1"/>
  <c r="I15" i="9" s="1"/>
  <c r="X11" i="9"/>
  <c r="X14" i="9" s="1"/>
  <c r="X15" i="9" s="1"/>
  <c r="X38" i="9"/>
  <c r="X41" i="9" s="1"/>
  <c r="X42" i="9" s="1"/>
  <c r="AI104" i="9"/>
  <c r="AI105" i="9" s="1"/>
  <c r="AF69" i="9"/>
  <c r="S200" i="9"/>
  <c r="S203" i="9" s="1"/>
  <c r="S204" i="9" s="1"/>
  <c r="AI182" i="9"/>
  <c r="AI185" i="9" s="1"/>
  <c r="AI186" i="9" s="1"/>
  <c r="AF150" i="9"/>
  <c r="I42" i="9"/>
  <c r="G87" i="9"/>
  <c r="AG59" i="9"/>
  <c r="AG60" i="9" s="1"/>
  <c r="S77" i="9"/>
  <c r="W104" i="9"/>
  <c r="W105" i="9" s="1"/>
  <c r="U119" i="9"/>
  <c r="U122" i="9" s="1"/>
  <c r="U123" i="9" s="1"/>
  <c r="Q32" i="9"/>
  <c r="Q33" i="9" s="1"/>
  <c r="Z105" i="9"/>
  <c r="N105" i="9"/>
  <c r="Q51" i="9"/>
  <c r="R177" i="9"/>
  <c r="V47" i="9"/>
  <c r="V50" i="9" s="1"/>
  <c r="V51" i="9" s="1"/>
  <c r="AE110" i="9"/>
  <c r="AE113" i="9" s="1"/>
  <c r="AE114" i="9" s="1"/>
  <c r="AF128" i="9"/>
  <c r="AF131" i="9" s="1"/>
  <c r="AF132" i="9" s="1"/>
  <c r="G164" i="9"/>
  <c r="G167" i="9" s="1"/>
  <c r="G168" i="9" s="1"/>
  <c r="G101" i="9"/>
  <c r="G104" i="9" s="1"/>
  <c r="G105" i="9" s="1"/>
  <c r="V200" i="9"/>
  <c r="V203" i="9" s="1"/>
  <c r="V204" i="9" s="1"/>
  <c r="L87" i="9"/>
  <c r="S159" i="9"/>
  <c r="X101" i="9"/>
  <c r="X104" i="9" s="1"/>
  <c r="X105" i="9" s="1"/>
  <c r="X24" i="9"/>
  <c r="F182" i="9"/>
  <c r="F185" i="9" s="1"/>
  <c r="F186" i="9" s="1"/>
  <c r="AC167" i="9"/>
  <c r="AC168" i="9" s="1"/>
  <c r="AF47" i="9"/>
  <c r="AF50" i="9" s="1"/>
  <c r="AF51" i="9" s="1"/>
  <c r="O123" i="9"/>
  <c r="J101" i="9"/>
  <c r="J104" i="9" s="1"/>
  <c r="J105" i="9" s="1"/>
  <c r="O140" i="9"/>
  <c r="O141" i="9" s="1"/>
  <c r="F168" i="9"/>
  <c r="N177" i="9"/>
  <c r="W42" i="9"/>
  <c r="U194" i="9"/>
  <c r="E159" i="9"/>
  <c r="O42" i="9"/>
  <c r="Q155" i="9"/>
  <c r="Q158" i="9" s="1"/>
  <c r="Q159" i="9" s="1"/>
  <c r="S78" i="9"/>
  <c r="AG150" i="9"/>
  <c r="AE87" i="9"/>
  <c r="F23" i="9"/>
  <c r="F24" i="9" s="1"/>
  <c r="Y114" i="9"/>
  <c r="V68" i="9"/>
  <c r="V69" i="9" s="1"/>
  <c r="AD146" i="9"/>
  <c r="AD149" i="9" s="1"/>
  <c r="AD150" i="9" s="1"/>
  <c r="M83" i="9"/>
  <c r="M86" i="9" s="1"/>
  <c r="M87" i="9" s="1"/>
  <c r="K5" i="9"/>
  <c r="J6" i="9"/>
  <c r="L5" i="9" l="1"/>
  <c r="K6" i="9"/>
  <c r="L6" i="9" l="1"/>
  <c r="M5" i="9"/>
  <c r="M6" i="9" l="1"/>
  <c r="N5" i="9"/>
  <c r="N6" i="9" l="1"/>
  <c r="O5" i="9"/>
  <c r="O6" i="9" l="1"/>
  <c r="P5" i="9"/>
  <c r="P6" i="9" l="1"/>
  <c r="Q5" i="9"/>
  <c r="R5" i="9" l="1"/>
  <c r="Q6" i="9"/>
  <c r="S5" i="9" l="1"/>
  <c r="R6" i="9"/>
  <c r="T5" i="9" l="1"/>
  <c r="S6" i="9"/>
  <c r="T6" i="9" l="1"/>
  <c r="U5" i="9"/>
  <c r="U6" i="9" l="1"/>
  <c r="V5" i="9"/>
  <c r="V6" i="9" l="1"/>
  <c r="W5" i="9"/>
  <c r="X5" i="9" l="1"/>
  <c r="W6" i="9"/>
  <c r="Y5" i="9" l="1"/>
  <c r="X6" i="9"/>
  <c r="Z5" i="9" l="1"/>
  <c r="Y6" i="9"/>
  <c r="Z6" i="9" l="1"/>
  <c r="AA5" i="9"/>
  <c r="AA6" i="9" l="1"/>
  <c r="AB5" i="9"/>
  <c r="AB6" i="9" l="1"/>
  <c r="AC5" i="9"/>
  <c r="AD5" i="9" l="1"/>
  <c r="AC6" i="9"/>
  <c r="AE5" i="9" l="1"/>
  <c r="AD6" i="9"/>
  <c r="AE6" i="9" l="1"/>
  <c r="AF5" i="9"/>
  <c r="AG5" i="9" l="1"/>
  <c r="AF6" i="9"/>
  <c r="AG6" i="9" l="1"/>
  <c r="AH5" i="9"/>
  <c r="AI5" i="9" l="1"/>
  <c r="AH6" i="9"/>
  <c r="AI6" i="9" l="1"/>
  <c r="AJ89" i="9" l="1"/>
  <c r="AJ92" i="9" s="1"/>
  <c r="AN89" i="9"/>
  <c r="AK89" i="9"/>
  <c r="AL89" i="9"/>
  <c r="AM89" i="9"/>
  <c r="AJ98" i="9"/>
  <c r="AJ101" i="9" s="1"/>
  <c r="AM98" i="9"/>
  <c r="AK98" i="9"/>
  <c r="AN98" i="9"/>
  <c r="AL98" i="9"/>
  <c r="AJ44" i="9"/>
  <c r="AJ47" i="9" s="1"/>
  <c r="AM44" i="9"/>
  <c r="AN44" i="9"/>
  <c r="AK44" i="9"/>
  <c r="AL44" i="9"/>
  <c r="AJ161" i="9"/>
  <c r="AJ164" i="9" s="1"/>
  <c r="AM161" i="9"/>
  <c r="AK161" i="9"/>
  <c r="AL161" i="9"/>
  <c r="AN161" i="9"/>
  <c r="AJ197" i="9"/>
  <c r="AJ200" i="9" s="1"/>
  <c r="AK197" i="9"/>
  <c r="AL197" i="9"/>
  <c r="AM197" i="9"/>
  <c r="AN197" i="9"/>
  <c r="AJ53" i="9"/>
  <c r="AJ56" i="9" s="1"/>
  <c r="AK53" i="9"/>
  <c r="AL53" i="9"/>
  <c r="AM53" i="9"/>
  <c r="AN53" i="9"/>
  <c r="AJ170" i="9"/>
  <c r="AJ173" i="9" s="1"/>
  <c r="AK170" i="9"/>
  <c r="AN170" i="9"/>
  <c r="AL170" i="9"/>
  <c r="AM170" i="9"/>
  <c r="AJ71" i="9"/>
  <c r="AJ74" i="9" s="1"/>
  <c r="AM71" i="9"/>
  <c r="AN71" i="9"/>
  <c r="AK71" i="9"/>
  <c r="AL71" i="9"/>
  <c r="AJ62" i="9"/>
  <c r="AJ65" i="9" s="1"/>
  <c r="AM62" i="9"/>
  <c r="AK62" i="9"/>
  <c r="AN62" i="9"/>
  <c r="AL62" i="9"/>
  <c r="AJ17" i="9"/>
  <c r="AJ20" i="9" s="1"/>
  <c r="AM17" i="9"/>
  <c r="AN17" i="9"/>
  <c r="AK17" i="9"/>
  <c r="AL17" i="9"/>
  <c r="AJ152" i="9"/>
  <c r="AJ155" i="9" s="1"/>
  <c r="AN152" i="9"/>
  <c r="AK152" i="9"/>
  <c r="AL152" i="9"/>
  <c r="AM152" i="9"/>
  <c r="AJ107" i="9"/>
  <c r="AJ110" i="9" s="1"/>
  <c r="AM107" i="9"/>
  <c r="AK107" i="9"/>
  <c r="AL107" i="9"/>
  <c r="AN107" i="9"/>
  <c r="AJ80" i="9"/>
  <c r="AJ83" i="9" s="1"/>
  <c r="AK80" i="9"/>
  <c r="AL80" i="9"/>
  <c r="AM80" i="9"/>
  <c r="AN80" i="9"/>
  <c r="AJ134" i="9"/>
  <c r="AJ137" i="9" s="1"/>
  <c r="AK134" i="9"/>
  <c r="AL134" i="9"/>
  <c r="AM134" i="9"/>
  <c r="AN134" i="9"/>
  <c r="AJ125" i="9"/>
  <c r="AJ128" i="9" s="1"/>
  <c r="AM125" i="9"/>
  <c r="AN125" i="9"/>
  <c r="AK125" i="9"/>
  <c r="AL125" i="9"/>
  <c r="AJ143" i="9"/>
  <c r="AJ146" i="9" s="1"/>
  <c r="AM143" i="9"/>
  <c r="AK143" i="9"/>
  <c r="AN143" i="9"/>
  <c r="AL143" i="9"/>
  <c r="AJ179" i="9"/>
  <c r="AJ182" i="9" s="1"/>
  <c r="AM179" i="9"/>
  <c r="AK179" i="9"/>
  <c r="AL179" i="9"/>
  <c r="AN179" i="9"/>
  <c r="AJ35" i="9"/>
  <c r="AJ38" i="9" s="1"/>
  <c r="AK35" i="9"/>
  <c r="AN35" i="9"/>
  <c r="AL35" i="9"/>
  <c r="AM35" i="9"/>
  <c r="AJ26" i="9"/>
  <c r="AJ29" i="9" s="1"/>
  <c r="AK26" i="9"/>
  <c r="AL26" i="9"/>
  <c r="AM26" i="9"/>
  <c r="AN26" i="9"/>
  <c r="AJ188" i="9"/>
  <c r="AJ191" i="9" s="1"/>
  <c r="AM188" i="9"/>
  <c r="AN188" i="9"/>
  <c r="AK188" i="9"/>
  <c r="AL188" i="9"/>
  <c r="AJ116" i="9"/>
  <c r="AJ119" i="9" s="1"/>
  <c r="AK116" i="9"/>
  <c r="AN116" i="9"/>
  <c r="AL116" i="9"/>
  <c r="AM116" i="9"/>
  <c r="AJ8" i="9"/>
  <c r="AN8" i="9"/>
  <c r="AL8" i="9"/>
  <c r="AM8" i="9"/>
  <c r="AK8" i="9"/>
  <c r="AJ11" i="9" l="1"/>
  <c r="AJ122" i="9" l="1"/>
  <c r="AJ68" i="9"/>
  <c r="AJ186" i="9"/>
  <c r="AJ185" i="9"/>
  <c r="AJ104" i="9"/>
  <c r="AJ149" i="9"/>
  <c r="AJ167" i="9"/>
  <c r="AJ176" i="9"/>
  <c r="AJ141" i="9"/>
  <c r="AJ140" i="9"/>
  <c r="AJ23" i="9"/>
  <c r="AJ51" i="9"/>
  <c r="AJ50" i="9"/>
  <c r="AJ132" i="9"/>
  <c r="AJ78" i="9"/>
  <c r="AJ77" i="9"/>
  <c r="AJ42" i="9"/>
  <c r="AJ41" i="9"/>
  <c r="AJ24" i="9"/>
  <c r="AJ114" i="9"/>
  <c r="AJ113" i="9"/>
  <c r="AJ33" i="9"/>
  <c r="AJ32" i="9"/>
  <c r="AJ60" i="9"/>
  <c r="AJ59" i="9"/>
  <c r="AJ204" i="9"/>
  <c r="AJ203" i="9"/>
  <c r="AJ96" i="9"/>
  <c r="AJ95" i="9"/>
  <c r="AJ158" i="9"/>
  <c r="AJ87" i="9"/>
  <c r="AJ86" i="9"/>
  <c r="AJ150" i="9"/>
  <c r="AJ195" i="9"/>
  <c r="AJ194" i="9"/>
  <c r="AJ131" i="9"/>
  <c r="AJ14" i="9"/>
  <c r="AJ15" i="9"/>
  <c r="AJ123" i="9"/>
  <c r="AJ69" i="9" l="1"/>
  <c r="AJ159" i="9"/>
  <c r="AJ177" i="9"/>
  <c r="AJ105" i="9"/>
  <c r="AJ168" i="9"/>
</calcChain>
</file>

<file path=xl/sharedStrings.xml><?xml version="1.0" encoding="utf-8"?>
<sst xmlns="http://schemas.openxmlformats.org/spreadsheetml/2006/main" count="804" uniqueCount="76">
  <si>
    <t>P</t>
  </si>
  <si>
    <t>IN.TIME</t>
  </si>
  <si>
    <t>OUT.TIME</t>
  </si>
  <si>
    <t>A</t>
  </si>
  <si>
    <t>Name of Employee</t>
  </si>
  <si>
    <t>TIME</t>
  </si>
  <si>
    <t>TOTAL REPORT</t>
  </si>
  <si>
    <t>H</t>
  </si>
  <si>
    <t>PAY DAYS</t>
  </si>
  <si>
    <t>FORM NO 31</t>
  </si>
  <si>
    <t>PL</t>
  </si>
  <si>
    <t>Work Hrs</t>
  </si>
  <si>
    <t>Break Hrs</t>
  </si>
  <si>
    <t>Max Hrs</t>
  </si>
  <si>
    <t>In Hrs</t>
  </si>
  <si>
    <t>SUN</t>
  </si>
  <si>
    <t>Emp 
Code</t>
  </si>
  <si>
    <t>S.
No.</t>
  </si>
  <si>
    <t>W</t>
  </si>
  <si>
    <t>Shift Hrs</t>
  </si>
  <si>
    <t>OT Hrs</t>
  </si>
  <si>
    <t>S004</t>
  </si>
  <si>
    <t/>
  </si>
  <si>
    <t>S005</t>
  </si>
  <si>
    <t>S007</t>
  </si>
  <si>
    <t>S048</t>
  </si>
  <si>
    <t>S049</t>
  </si>
  <si>
    <t>S056</t>
  </si>
  <si>
    <t>S069</t>
  </si>
  <si>
    <t>S077</t>
  </si>
  <si>
    <t>S016</t>
  </si>
  <si>
    <t>S288</t>
  </si>
  <si>
    <t>S019</t>
  </si>
  <si>
    <t>S894</t>
  </si>
  <si>
    <t>S920</t>
  </si>
  <si>
    <t>S1142</t>
  </si>
  <si>
    <t>S054</t>
  </si>
  <si>
    <t>S070</t>
  </si>
  <si>
    <t>S481</t>
  </si>
  <si>
    <t>S635</t>
  </si>
  <si>
    <t>S199</t>
  </si>
  <si>
    <t>S051</t>
  </si>
  <si>
    <t>S071</t>
  </si>
  <si>
    <t>S187</t>
  </si>
  <si>
    <t>Sanket Sureshbhai Patel</t>
  </si>
  <si>
    <t>Laxman Malu Singh</t>
  </si>
  <si>
    <t>Rajesh Shivbachan Prajapati</t>
  </si>
  <si>
    <t>Jagdishji Thakor</t>
  </si>
  <si>
    <t>Krishnakaran Namdev</t>
  </si>
  <si>
    <t>Chandan Kumar Sahani</t>
  </si>
  <si>
    <t>Kundan Kumar</t>
  </si>
  <si>
    <t>Narendra Kumar Singh</t>
  </si>
  <si>
    <t>Dhanraj Kaluji Vaghela</t>
  </si>
  <si>
    <t>Ajay Tulshi Bhuiyan</t>
  </si>
  <si>
    <t>Ranjeet Aidan Singh</t>
  </si>
  <si>
    <t>Sadhna Shivachan Chauhan</t>
  </si>
  <si>
    <t>Dishank Kiranbhai Purohit</t>
  </si>
  <si>
    <t>Pratima Devi Roop Kumar</t>
  </si>
  <si>
    <t>Sujeet Vishwakarma</t>
  </si>
  <si>
    <t>Pawan Singh</t>
  </si>
  <si>
    <t>Juli Juli</t>
  </si>
  <si>
    <t>Laxmi kumari Sanichara Uraon</t>
  </si>
  <si>
    <t>Jignesh Bhai Asodiya</t>
  </si>
  <si>
    <t>Divan Thakor</t>
  </si>
  <si>
    <t>Dhaneswar Ghadei</t>
  </si>
  <si>
    <t>Mahesh Kumar Parmar</t>
  </si>
  <si>
    <t>C</t>
  </si>
  <si>
    <t>WED</t>
  </si>
  <si>
    <t>TUE</t>
  </si>
  <si>
    <t>B</t>
  </si>
  <si>
    <t>FRI</t>
  </si>
  <si>
    <t>THU</t>
  </si>
  <si>
    <t>MON</t>
  </si>
  <si>
    <t>SAT</t>
  </si>
  <si>
    <t>SHARVAAY TEXTILES PRIVATE LIMITED</t>
  </si>
  <si>
    <t>City S.No 991/998/999/1000/1009 &amp; R.S no 991/Paiki 1, Kadi Kalyanpura Road, Village - Vidaj, Taluka - Kadi, District: Mahesana, Gujarat,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</si>
</sst>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-yyyy"/>
    <numFmt numFmtId="165" formatCode="[hh]:mm"/>
    <numFmt numFmtId="166" formatCode="[$-14009]dd;@"/>
  </numFmts>
  <fonts count="11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b/>
      <sz val="12"/>
      <name val="Cambria"/>
      <family val="1"/>
    </font>
    <font>
      <sz val="10"/>
      <color rgb="FF000000"/>
      <name val="Times New Roman"/>
      <family val="1"/>
    </font>
    <font>
      <b/>
      <sz val="8"/>
      <name val="Cambria"/>
      <family val="1"/>
    </font>
    <font>
      <b/>
      <sz val="9"/>
      <name val="Cambria"/>
      <family val="1"/>
    </font>
    <font>
      <sz val="11"/>
      <name val="Calibri"/>
      <family val="2"/>
      <scheme val="minor"/>
    </font>
    <font>
      <b/>
      <sz val="16"/>
      <name val="Arial Black"/>
      <family val="2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6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49" fontId="2" fillId="0" borderId="5" xfId="0" applyNumberFormat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 hidden="1"/>
    </xf>
    <xf numFmtId="49" fontId="2" fillId="0" borderId="17" xfId="0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/>
      <protection locked="0" hidden="1"/>
    </xf>
    <xf numFmtId="0" fontId="2" fillId="0" borderId="24" xfId="0" applyFont="1" applyBorder="1" applyAlignment="1" applyProtection="1">
      <alignment horizontal="center" vertical="center"/>
      <protection locked="0" hidden="1"/>
    </xf>
    <xf numFmtId="0" fontId="2" fillId="0" borderId="20" xfId="0" applyFont="1" applyBorder="1" applyAlignment="1" applyProtection="1">
      <alignment horizontal="center" vertical="center"/>
      <protection locked="0" hidden="1"/>
    </xf>
    <xf numFmtId="0" fontId="1" fillId="0" borderId="23" xfId="0" applyFont="1" applyBorder="1" applyAlignment="1" applyProtection="1">
      <alignment vertical="center" wrapText="1"/>
      <protection locked="0"/>
    </xf>
    <xf numFmtId="0" fontId="4" fillId="0" borderId="21" xfId="0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18" xfId="0" applyFont="1" applyBorder="1" applyAlignment="1" applyProtection="1">
      <alignment horizontal="center" vertical="center"/>
      <protection locked="0" hidden="1"/>
    </xf>
    <xf numFmtId="0" fontId="2" fillId="0" borderId="16" xfId="0" applyFont="1" applyBorder="1" applyAlignment="1" applyProtection="1">
      <alignment horizontal="centerContinuous" vertical="center"/>
      <protection locked="0" hidden="1"/>
    </xf>
    <xf numFmtId="0" fontId="2" fillId="0" borderId="0" xfId="0" applyFont="1" applyAlignment="1" applyProtection="1">
      <alignment horizontal="centerContinuous" vertical="center"/>
      <protection locked="0" hidden="1"/>
    </xf>
    <xf numFmtId="0" fontId="1" fillId="0" borderId="23" xfId="0" applyFont="1" applyBorder="1" applyAlignment="1" applyProtection="1">
      <alignment horizontal="center" vertical="center" wrapText="1"/>
      <protection locked="0"/>
    </xf>
    <xf numFmtId="20" fontId="4" fillId="0" borderId="21" xfId="0" applyNumberFormat="1" applyFont="1" applyBorder="1" applyAlignment="1">
      <alignment horizontal="center" vertical="center"/>
    </xf>
    <xf numFmtId="0" fontId="5" fillId="0" borderId="16" xfId="0" applyFont="1" applyBorder="1" applyAlignment="1" applyProtection="1">
      <alignment horizontal="centerContinuous" vertical="center"/>
      <protection locked="0" hidden="1"/>
    </xf>
    <xf numFmtId="0" fontId="5" fillId="0" borderId="0" xfId="0" applyFont="1" applyAlignment="1" applyProtection="1">
      <alignment horizontal="centerContinuous" vertical="center"/>
      <protection locked="0" hidden="1"/>
    </xf>
    <xf numFmtId="165" fontId="4" fillId="0" borderId="16" xfId="0" applyNumberFormat="1" applyFont="1" applyBorder="1" applyAlignment="1" applyProtection="1">
      <alignment horizontal="centerContinuous" vertical="center"/>
      <protection locked="0" hidden="1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/>
    <xf numFmtId="20" fontId="4" fillId="0" borderId="22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 applyProtection="1">
      <alignment horizontal="centerContinuous" vertical="center"/>
      <protection locked="0" hidden="1"/>
    </xf>
    <xf numFmtId="0" fontId="2" fillId="0" borderId="11" xfId="0" applyFont="1" applyBorder="1" applyAlignment="1" applyProtection="1">
      <alignment horizontal="centerContinuous" vertical="center"/>
      <protection locked="0" hidden="1"/>
    </xf>
    <xf numFmtId="0" fontId="2" fillId="0" borderId="19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 wrapText="1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166" fontId="2" fillId="0" borderId="4" xfId="0" applyNumberFormat="1" applyFont="1" applyBorder="1" applyAlignment="1" applyProtection="1">
      <alignment horizontal="center" vertical="center" wrapText="1"/>
      <protection locked="0" hidden="1"/>
    </xf>
    <xf numFmtId="14" fontId="2" fillId="0" borderId="17" xfId="0" applyNumberFormat="1" applyFont="1" applyBorder="1" applyAlignment="1" applyProtection="1">
      <alignment horizontal="center" vertical="center" wrapText="1"/>
      <protection locked="0" hidden="1"/>
    </xf>
    <xf numFmtId="0" fontId="2" fillId="0" borderId="26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1" fillId="0" borderId="30" xfId="0" applyFont="1" applyBorder="1" applyAlignment="1" applyProtection="1">
      <alignment horizontal="center" vertical="center"/>
      <protection locked="0"/>
    </xf>
    <xf numFmtId="0" fontId="1" fillId="0" borderId="31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/>
    <xf numFmtId="0" fontId="6" fillId="0" borderId="19" xfId="0" applyFont="1" applyBorder="1"/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11" xfId="0" applyFont="1" applyBorder="1" applyAlignment="1">
      <alignment horizontal="center"/>
    </xf>
    <xf numFmtId="49" fontId="2" fillId="0" borderId="9" xfId="0" applyNumberFormat="1" applyFont="1" applyBorder="1" applyAlignment="1" applyProtection="1">
      <alignment horizontal="center" vertical="center" wrapText="1"/>
      <protection locked="0"/>
    </xf>
    <xf numFmtId="49" fontId="2" fillId="0" borderId="7" xfId="0" applyNumberFormat="1" applyFont="1" applyBorder="1" applyAlignment="1" applyProtection="1">
      <alignment horizontal="center" vertical="center" wrapText="1"/>
      <protection locked="0"/>
    </xf>
    <xf numFmtId="49" fontId="2" fillId="0" borderId="8" xfId="0" applyNumberFormat="1" applyFont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Border="1" applyAlignment="1" applyProtection="1">
      <alignment horizontal="center" vertical="center" wrapText="1"/>
      <protection locked="0"/>
    </xf>
    <xf numFmtId="164" fontId="2" fillId="0" borderId="26" xfId="0" applyNumberFormat="1" applyFont="1" applyBorder="1" applyAlignment="1" applyProtection="1">
      <alignment horizontal="center" vertical="center" wrapText="1"/>
      <protection locked="0"/>
    </xf>
    <xf numFmtId="164" fontId="2" fillId="0" borderId="27" xfId="0" applyNumberFormat="1" applyFont="1" applyBorder="1" applyAlignment="1" applyProtection="1">
      <alignment horizontal="center" vertical="center" wrapText="1"/>
      <protection locked="0"/>
    </xf>
    <xf numFmtId="164" fontId="2" fillId="0" borderId="28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0000000-0005-0000-0000-000001000000}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2.xml"/><Relationship Id="rId5" Type="http://schemas.openxmlformats.org/officeDocument/2006/relationships/calcChain" Target="calcChain.xml"/><Relationship Id="rId10" Type="http://schemas.microsoft.com/office/2017/10/relationships/person" Target="persons/person1.xml"/><Relationship Id="rId4" Type="http://schemas.openxmlformats.org/officeDocument/2006/relationships/sharedStrings" Target="sharedStrings.xml"/><Relationship Id="rId9" Type="http://schemas.microsoft.com/office/2017/10/relationships/person" Target="persons/pers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204"/>
  <sheetViews>
    <sheetView tabSelected="1" zoomScale="88" zoomScaleNormal="88" workbookViewId="0"/>
  </sheetViews>
  <sheetFormatPr defaultColWidth="8.77734375" defaultRowHeight="14.4" x14ac:dyDescent="0.3"/>
  <cols>
    <col min="1" max="1" width="4.5546875" style="1" bestFit="1" customWidth="1"/>
    <col min="2" max="2" width="9.44140625" style="1" customWidth="1"/>
    <col min="3" max="3" width="41.44140625" style="1" bestFit="1" customWidth="1"/>
    <col min="4" max="4" width="10.33203125" style="1" bestFit="1" customWidth="1"/>
    <col min="5" max="5" width="6.88671875" style="1" customWidth="1"/>
    <col min="6" max="35" width="6.5546875" style="1" customWidth="1"/>
    <col min="36" max="36" width="6.6640625" style="1" bestFit="1" customWidth="1"/>
    <col min="37" max="37" width="3.88671875" style="1" bestFit="1" customWidth="1"/>
    <col min="38" max="38" width="4.6640625" style="1" bestFit="1" customWidth="1"/>
    <col min="39" max="39" width="2.5546875" style="1" bestFit="1" customWidth="1"/>
    <col min="40" max="40" width="3.5546875" style="1" bestFit="1" customWidth="1"/>
    <col min="41" max="41" width="8" style="1" customWidth="1"/>
    <col min="42" max="16384" width="8.77734375" style="1"/>
  </cols>
  <sheetData>
    <row r="1" spans="1:42" ht="25.2" x14ac:dyDescent="0.6">
      <c r="D1" s="52" t="s">
        <v>74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2"/>
      <c r="AN1" s="2"/>
      <c r="AO1" s="2"/>
      <c r="AP1" s="2"/>
    </row>
    <row r="2" spans="1:42" ht="21" x14ac:dyDescent="0.4">
      <c r="D2" s="53" t="s">
        <v>75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3"/>
      <c r="AN2" s="3"/>
      <c r="AO2" s="3"/>
      <c r="AP2" s="3"/>
    </row>
    <row r="3" spans="1:42" ht="21.6" thickBot="1" x14ac:dyDescent="0.45">
      <c r="D3" s="55" t="s">
        <v>9</v>
      </c>
      <c r="E3" s="55"/>
      <c r="F3" s="55"/>
      <c r="I3" s="4"/>
      <c r="P3" s="4"/>
    </row>
    <row r="4" spans="1:42" ht="15.6" thickBot="1" x14ac:dyDescent="0.35">
      <c r="A4" s="50" t="s">
        <v>17</v>
      </c>
      <c r="B4" s="50" t="s">
        <v>16</v>
      </c>
      <c r="C4" s="50" t="s">
        <v>4</v>
      </c>
      <c r="D4" s="50" t="s">
        <v>5</v>
      </c>
      <c r="E4" s="60">
        <v>45992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2"/>
      <c r="AJ4" s="56" t="s">
        <v>6</v>
      </c>
      <c r="AK4" s="57"/>
      <c r="AL4" s="58"/>
      <c r="AM4" s="58"/>
      <c r="AN4" s="58"/>
      <c r="AO4" s="59"/>
    </row>
    <row r="5" spans="1:42" ht="30.6" thickBot="1" x14ac:dyDescent="0.35">
      <c r="A5" s="51"/>
      <c r="B5" s="51"/>
      <c r="C5" s="51"/>
      <c r="D5" s="51"/>
      <c r="E5" s="40">
        <f>E4</f>
        <v>45992</v>
      </c>
      <c r="F5" s="40">
        <f>E5+1</f>
        <v>45993</v>
      </c>
      <c r="G5" s="40">
        <f t="shared" ref="G5:AI5" si="0">F5+1</f>
        <v>45994</v>
      </c>
      <c r="H5" s="40">
        <f t="shared" si="0"/>
        <v>45995</v>
      </c>
      <c r="I5" s="40">
        <f t="shared" si="0"/>
        <v>45996</v>
      </c>
      <c r="J5" s="40">
        <f t="shared" si="0"/>
        <v>45997</v>
      </c>
      <c r="K5" s="40">
        <f t="shared" si="0"/>
        <v>45998</v>
      </c>
      <c r="L5" s="40">
        <f t="shared" si="0"/>
        <v>45999</v>
      </c>
      <c r="M5" s="40">
        <f t="shared" si="0"/>
        <v>46000</v>
      </c>
      <c r="N5" s="40">
        <f t="shared" si="0"/>
        <v>46001</v>
      </c>
      <c r="O5" s="40">
        <f t="shared" si="0"/>
        <v>46002</v>
      </c>
      <c r="P5" s="40">
        <f t="shared" si="0"/>
        <v>46003</v>
      </c>
      <c r="Q5" s="40">
        <f t="shared" si="0"/>
        <v>46004</v>
      </c>
      <c r="R5" s="40">
        <f t="shared" si="0"/>
        <v>46005</v>
      </c>
      <c r="S5" s="40">
        <f t="shared" si="0"/>
        <v>46006</v>
      </c>
      <c r="T5" s="40">
        <f t="shared" si="0"/>
        <v>46007</v>
      </c>
      <c r="U5" s="40">
        <f t="shared" si="0"/>
        <v>46008</v>
      </c>
      <c r="V5" s="40">
        <f t="shared" si="0"/>
        <v>46009</v>
      </c>
      <c r="W5" s="40">
        <f t="shared" si="0"/>
        <v>46010</v>
      </c>
      <c r="X5" s="40">
        <f t="shared" si="0"/>
        <v>46011</v>
      </c>
      <c r="Y5" s="40">
        <f t="shared" si="0"/>
        <v>46012</v>
      </c>
      <c r="Z5" s="40">
        <f t="shared" si="0"/>
        <v>46013</v>
      </c>
      <c r="AA5" s="40">
        <f t="shared" si="0"/>
        <v>46014</v>
      </c>
      <c r="AB5" s="40">
        <f t="shared" si="0"/>
        <v>46015</v>
      </c>
      <c r="AC5" s="40">
        <f t="shared" si="0"/>
        <v>46016</v>
      </c>
      <c r="AD5" s="40">
        <f t="shared" si="0"/>
        <v>46017</v>
      </c>
      <c r="AE5" s="40">
        <f t="shared" si="0"/>
        <v>46018</v>
      </c>
      <c r="AF5" s="40">
        <f t="shared" si="0"/>
        <v>46019</v>
      </c>
      <c r="AG5" s="40">
        <f t="shared" si="0"/>
        <v>46020</v>
      </c>
      <c r="AH5" s="40">
        <f t="shared" si="0"/>
        <v>46021</v>
      </c>
      <c r="AI5" s="40">
        <f t="shared" si="0"/>
        <v>46022</v>
      </c>
      <c r="AJ5" s="5" t="s">
        <v>0</v>
      </c>
      <c r="AK5" s="6" t="s">
        <v>3</v>
      </c>
      <c r="AL5" s="7" t="s">
        <v>18</v>
      </c>
      <c r="AM5" s="7" t="s">
        <v>7</v>
      </c>
      <c r="AN5" s="7" t="s">
        <v>10</v>
      </c>
      <c r="AO5" s="8" t="s">
        <v>8</v>
      </c>
    </row>
    <row r="6" spans="1:42" ht="15.6" thickBot="1" x14ac:dyDescent="0.35">
      <c r="A6" s="51"/>
      <c r="B6" s="51"/>
      <c r="C6" s="51"/>
      <c r="D6" s="51"/>
      <c r="E6" s="41" t="str">
        <f>UPPER(TEXT(E5,"ddd"))</f>
        <v>MON</v>
      </c>
      <c r="F6" s="41" t="str">
        <f t="shared" ref="F6:AI6" si="1">UPPER(TEXT(F5,"ddd"))</f>
        <v>TUE</v>
      </c>
      <c r="G6" s="41" t="str">
        <f t="shared" si="1"/>
        <v>WED</v>
      </c>
      <c r="H6" s="41" t="str">
        <f t="shared" si="1"/>
        <v>THU</v>
      </c>
      <c r="I6" s="41" t="str">
        <f t="shared" si="1"/>
        <v>FRI</v>
      </c>
      <c r="J6" s="41" t="str">
        <f t="shared" si="1"/>
        <v>SAT</v>
      </c>
      <c r="K6" s="41" t="str">
        <f t="shared" si="1"/>
        <v>SUN</v>
      </c>
      <c r="L6" s="41" t="str">
        <f t="shared" si="1"/>
        <v>MON</v>
      </c>
      <c r="M6" s="41" t="str">
        <f t="shared" si="1"/>
        <v>TUE</v>
      </c>
      <c r="N6" s="41" t="str">
        <f t="shared" si="1"/>
        <v>WED</v>
      </c>
      <c r="O6" s="41" t="str">
        <f t="shared" si="1"/>
        <v>THU</v>
      </c>
      <c r="P6" s="41" t="str">
        <f t="shared" si="1"/>
        <v>FRI</v>
      </c>
      <c r="Q6" s="41" t="str">
        <f t="shared" si="1"/>
        <v>SAT</v>
      </c>
      <c r="R6" s="41" t="str">
        <f t="shared" si="1"/>
        <v>SUN</v>
      </c>
      <c r="S6" s="41" t="str">
        <f t="shared" si="1"/>
        <v>MON</v>
      </c>
      <c r="T6" s="41" t="str">
        <f t="shared" si="1"/>
        <v>TUE</v>
      </c>
      <c r="U6" s="41" t="str">
        <f t="shared" si="1"/>
        <v>WED</v>
      </c>
      <c r="V6" s="41" t="str">
        <f t="shared" si="1"/>
        <v>THU</v>
      </c>
      <c r="W6" s="41" t="str">
        <f t="shared" si="1"/>
        <v>FRI</v>
      </c>
      <c r="X6" s="41" t="str">
        <f t="shared" si="1"/>
        <v>SAT</v>
      </c>
      <c r="Y6" s="41" t="str">
        <f t="shared" si="1"/>
        <v>SUN</v>
      </c>
      <c r="Z6" s="41" t="str">
        <f t="shared" si="1"/>
        <v>MON</v>
      </c>
      <c r="AA6" s="41" t="str">
        <f t="shared" si="1"/>
        <v>TUE</v>
      </c>
      <c r="AB6" s="41" t="str">
        <f t="shared" si="1"/>
        <v>WED</v>
      </c>
      <c r="AC6" s="41" t="str">
        <f t="shared" si="1"/>
        <v>THU</v>
      </c>
      <c r="AD6" s="41" t="str">
        <f t="shared" si="1"/>
        <v>FRI</v>
      </c>
      <c r="AE6" s="41" t="str">
        <f t="shared" si="1"/>
        <v>SAT</v>
      </c>
      <c r="AF6" s="41" t="str">
        <f t="shared" si="1"/>
        <v>SUN</v>
      </c>
      <c r="AG6" s="41" t="str">
        <f t="shared" si="1"/>
        <v>MON</v>
      </c>
      <c r="AH6" s="41" t="str">
        <f t="shared" si="1"/>
        <v>TUE</v>
      </c>
      <c r="AI6" s="41" t="str">
        <f t="shared" si="1"/>
        <v>WED</v>
      </c>
      <c r="AJ6" s="10"/>
      <c r="AK6" s="11"/>
      <c r="AL6" s="12"/>
      <c r="AM6" s="12"/>
      <c r="AN6" s="12"/>
      <c r="AO6" s="13"/>
    </row>
    <row r="7" spans="1:42" ht="15.6" thickBot="1" x14ac:dyDescent="0.35">
      <c r="A7" s="14"/>
      <c r="B7" s="15"/>
      <c r="C7" s="47"/>
      <c r="D7" s="37" t="s">
        <v>66</v>
      </c>
      <c r="E7" s="9">
        <f ca="1">IF(OR(E$5="",E$5=0),-2,IF(E$6=$D8,-1,RAND()))</f>
        <v>0.29045351322544466</v>
      </c>
      <c r="F7" s="9">
        <f t="shared" ref="F7:AI7" ca="1" si="2">IF(OR(F$5="",F$5=0),-2,IF(F$6=$D8,-1,RAND()))</f>
        <v>0.90237774813902616</v>
      </c>
      <c r="G7" s="9">
        <f t="shared" ca="1" si="2"/>
        <v>0.35824902206804954</v>
      </c>
      <c r="H7" s="9">
        <f t="shared" ca="1" si="2"/>
        <v>0.6985655368631094</v>
      </c>
      <c r="I7" s="9">
        <f t="shared" ca="1" si="2"/>
        <v>0.63145767270993602</v>
      </c>
      <c r="J7" s="9">
        <f t="shared" ca="1" si="2"/>
        <v>0.6440911461589196</v>
      </c>
      <c r="K7" s="9">
        <f t="shared" ca="1" si="2"/>
        <v>-1</v>
      </c>
      <c r="L7" s="9">
        <f t="shared" ca="1" si="2"/>
        <v>0.99391356154431021</v>
      </c>
      <c r="M7" s="9">
        <f t="shared" ca="1" si="2"/>
        <v>0.46525532516452373</v>
      </c>
      <c r="N7" s="9">
        <f t="shared" ca="1" si="2"/>
        <v>0.3178520127965303</v>
      </c>
      <c r="O7" s="9">
        <f t="shared" ca="1" si="2"/>
        <v>0.90075830215307739</v>
      </c>
      <c r="P7" s="9">
        <f t="shared" ca="1" si="2"/>
        <v>0.68097100998879267</v>
      </c>
      <c r="Q7" s="9">
        <f t="shared" ca="1" si="2"/>
        <v>0.93784096008066475</v>
      </c>
      <c r="R7" s="9">
        <f t="shared" ca="1" si="2"/>
        <v>-1</v>
      </c>
      <c r="S7" s="9">
        <f t="shared" ca="1" si="2"/>
        <v>0.27396986926989164</v>
      </c>
      <c r="T7" s="9">
        <f t="shared" ca="1" si="2"/>
        <v>0.94929854415605075</v>
      </c>
      <c r="U7" s="9">
        <f t="shared" ca="1" si="2"/>
        <v>4.8360549688428622E-2</v>
      </c>
      <c r="V7" s="9">
        <f t="shared" ca="1" si="2"/>
        <v>2.6855560752312657E-2</v>
      </c>
      <c r="W7" s="9">
        <f t="shared" ca="1" si="2"/>
        <v>0.83878695050973495</v>
      </c>
      <c r="X7" s="9">
        <f t="shared" ca="1" si="2"/>
        <v>0.14730011609783211</v>
      </c>
      <c r="Y7" s="9">
        <f t="shared" ca="1" si="2"/>
        <v>-1</v>
      </c>
      <c r="Z7" s="9">
        <f t="shared" ca="1" si="2"/>
        <v>0.27553572154084238</v>
      </c>
      <c r="AA7" s="9">
        <f t="shared" ca="1" si="2"/>
        <v>0.45722288853287152</v>
      </c>
      <c r="AB7" s="9">
        <f t="shared" ca="1" si="2"/>
        <v>0.18690167846781836</v>
      </c>
      <c r="AC7" s="9">
        <f t="shared" ca="1" si="2"/>
        <v>0.45406578369392847</v>
      </c>
      <c r="AD7" s="9">
        <f t="shared" ca="1" si="2"/>
        <v>0.59541853050135418</v>
      </c>
      <c r="AE7" s="9">
        <f t="shared" ca="1" si="2"/>
        <v>0.82860105230373016</v>
      </c>
      <c r="AF7" s="9">
        <f t="shared" ca="1" si="2"/>
        <v>-1</v>
      </c>
      <c r="AG7" s="9">
        <f t="shared" ca="1" si="2"/>
        <v>0.39928743138589495</v>
      </c>
      <c r="AH7" s="9">
        <f t="shared" ca="1" si="2"/>
        <v>0.70927586090408778</v>
      </c>
      <c r="AI7" s="9">
        <f t="shared" ca="1" si="2"/>
        <v>0.76415348319106002</v>
      </c>
      <c r="AJ7" s="38"/>
      <c r="AK7" s="37"/>
      <c r="AL7" s="37"/>
      <c r="AM7" s="37"/>
      <c r="AN7" s="37"/>
      <c r="AO7" s="39"/>
    </row>
    <row r="8" spans="1:42" ht="15.6" thickBot="1" x14ac:dyDescent="0.35">
      <c r="A8" s="42"/>
      <c r="B8" s="44" t="s">
        <v>21</v>
      </c>
      <c r="C8" s="43" t="s">
        <v>44</v>
      </c>
      <c r="D8" s="37" t="s">
        <v>15</v>
      </c>
      <c r="E8" s="9" t="str">
        <f ca="1">IF(OR(E$5="",E$5=0),"",IF(E$6=$D8,"W",IF(_xlfn.RANK.EQ(E7,$E7:$AI7,0)&lt;=INT($AO8),"P",IF(AND(_xlfn.RANK.EQ(E7,$E7:$AI7,0)=INT($AO8)+1,MOD($AO8,1)=0.5),"H","A"))))</f>
        <v>P</v>
      </c>
      <c r="F8" s="9" t="str">
        <f t="shared" ref="F8:AI8" ca="1" si="3">IF(OR(F$5="",F$5=0),"",IF(F$6=$D8,"W",IF(_xlfn.RANK.EQ(F7,$E7:$AI7,0)&lt;=INT($AO8),"P",IF(AND(_xlfn.RANK.EQ(F7,$E7:$AI7,0)=INT($AO8)+1,MOD($AO8,1)=0.5),"H","A"))))</f>
        <v>P</v>
      </c>
      <c r="G8" s="9" t="str">
        <f t="shared" ca="1" si="3"/>
        <v>P</v>
      </c>
      <c r="H8" s="9" t="str">
        <f t="shared" ca="1" si="3"/>
        <v>P</v>
      </c>
      <c r="I8" s="9" t="str">
        <f t="shared" ca="1" si="3"/>
        <v>P</v>
      </c>
      <c r="J8" s="9" t="str">
        <f t="shared" ca="1" si="3"/>
        <v>P</v>
      </c>
      <c r="K8" s="9" t="str">
        <f t="shared" si="3"/>
        <v>W</v>
      </c>
      <c r="L8" s="9" t="str">
        <f t="shared" ca="1" si="3"/>
        <v>P</v>
      </c>
      <c r="M8" s="9" t="str">
        <f t="shared" ca="1" si="3"/>
        <v>P</v>
      </c>
      <c r="N8" s="9" t="str">
        <f t="shared" ca="1" si="3"/>
        <v>P</v>
      </c>
      <c r="O8" s="9" t="str">
        <f t="shared" ca="1" si="3"/>
        <v>P</v>
      </c>
      <c r="P8" s="9" t="str">
        <f t="shared" ca="1" si="3"/>
        <v>P</v>
      </c>
      <c r="Q8" s="9" t="str">
        <f t="shared" ca="1" si="3"/>
        <v>P</v>
      </c>
      <c r="R8" s="9" t="str">
        <f t="shared" si="3"/>
        <v>W</v>
      </c>
      <c r="S8" s="9" t="str">
        <f t="shared" ca="1" si="3"/>
        <v>A</v>
      </c>
      <c r="T8" s="9" t="str">
        <f t="shared" ca="1" si="3"/>
        <v>P</v>
      </c>
      <c r="U8" s="9" t="str">
        <f t="shared" ca="1" si="3"/>
        <v>A</v>
      </c>
      <c r="V8" s="9" t="str">
        <f t="shared" ca="1" si="3"/>
        <v>A</v>
      </c>
      <c r="W8" s="9" t="str">
        <f t="shared" ca="1" si="3"/>
        <v>P</v>
      </c>
      <c r="X8" s="9" t="str">
        <f t="shared" ca="1" si="3"/>
        <v>A</v>
      </c>
      <c r="Y8" s="9" t="str">
        <f t="shared" si="3"/>
        <v>W</v>
      </c>
      <c r="Z8" s="9" t="str">
        <f t="shared" ca="1" si="3"/>
        <v>A</v>
      </c>
      <c r="AA8" s="9" t="str">
        <f t="shared" ca="1" si="3"/>
        <v>P</v>
      </c>
      <c r="AB8" s="9" t="str">
        <f t="shared" ca="1" si="3"/>
        <v>A</v>
      </c>
      <c r="AC8" s="9" t="str">
        <f t="shared" ca="1" si="3"/>
        <v>P</v>
      </c>
      <c r="AD8" s="9" t="str">
        <f t="shared" ca="1" si="3"/>
        <v>P</v>
      </c>
      <c r="AE8" s="9" t="str">
        <f t="shared" ca="1" si="3"/>
        <v>P</v>
      </c>
      <c r="AF8" s="9" t="str">
        <f t="shared" si="3"/>
        <v>W</v>
      </c>
      <c r="AG8" s="9" t="str">
        <f t="shared" ca="1" si="3"/>
        <v>P</v>
      </c>
      <c r="AH8" s="9" t="str">
        <f t="shared" ca="1" si="3"/>
        <v>P</v>
      </c>
      <c r="AI8" s="9" t="str">
        <f t="shared" ca="1" si="3"/>
        <v>P</v>
      </c>
      <c r="AJ8" s="16">
        <f ca="1">COUNTIF(E8:AI8, "P")</f>
        <v>21</v>
      </c>
      <c r="AK8" s="17">
        <f ca="1">COUNTIF(E8:AH8, "A")</f>
        <v>6</v>
      </c>
      <c r="AL8" s="17">
        <f ca="1">COUNTIF(E8:AH8, "W")</f>
        <v>4</v>
      </c>
      <c r="AM8" s="17">
        <f ca="1">COUNTIF(E8:AH8, "H")</f>
        <v>0</v>
      </c>
      <c r="AN8" s="17">
        <f ca="1">COUNTIF(E8:AH8, "PL")</f>
        <v>0</v>
      </c>
      <c r="AO8" s="18">
        <v>21</v>
      </c>
    </row>
    <row r="9" spans="1:42" ht="15" x14ac:dyDescent="0.3">
      <c r="A9" s="19"/>
      <c r="B9" s="1" t="s">
        <v>22</v>
      </c>
      <c r="C9" s="48" t="s">
        <v>22</v>
      </c>
      <c r="D9" s="45" t="s">
        <v>1</v>
      </c>
      <c r="E9" s="20" t="str">
        <f ca="1">IF(E8="P", IF($D7="G", TEXT(RAND()*(9.27-9.62)/24+9.62/24,"HH:MM"), IF($D7="A", TEXT(RAND()*(8.06-8.1)/24+8.15/24,"HH:MM"), IF($D7="B", TEXT(RAND()*(16.06-16.1)/24+16.15/24,"HH:MM"), IF($D7="C", TEXT(RAND()*(24.85-24.13)/24+24.13/24,"HH:MM"), " ")))), "")</f>
        <v>00:11</v>
      </c>
      <c r="F9" s="20" t="str">
        <f t="shared" ref="F9:AH9" ca="1" si="4">IF(F8="P", IF($D7="G", TEXT(RAND()*(9.27-9.62)/24+9.62/24,"HH:MM"), IF($D7="A", TEXT(RAND()*(8.06-8.1)/24+8.15/24,"HH:MM"), IF($D7="B", TEXT(RAND()*(16.06-16.1)/24+16.15/24,"HH:MM"), IF($D7="C", TEXT(RAND()*(24.85-24.13)/24+24.13/24,"HH:MM"), " ")))), "")</f>
        <v>00:18</v>
      </c>
      <c r="G9" s="20" t="str">
        <f t="shared" ca="1" si="4"/>
        <v>00:17</v>
      </c>
      <c r="H9" s="20" t="str">
        <f t="shared" ca="1" si="4"/>
        <v>00:29</v>
      </c>
      <c r="I9" s="20" t="str">
        <f t="shared" ca="1" si="4"/>
        <v>00:31</v>
      </c>
      <c r="J9" s="20" t="str">
        <f t="shared" ca="1" si="4"/>
        <v>00:47</v>
      </c>
      <c r="K9" s="20" t="str">
        <f t="shared" ca="1" si="4"/>
        <v/>
      </c>
      <c r="L9" s="20" t="str">
        <f t="shared" ca="1" si="4"/>
        <v>00:21</v>
      </c>
      <c r="M9" s="20" t="str">
        <f t="shared" ca="1" si="4"/>
        <v>00:31</v>
      </c>
      <c r="N9" s="20" t="str">
        <f t="shared" ca="1" si="4"/>
        <v>00:40</v>
      </c>
      <c r="O9" s="20" t="str">
        <f t="shared" ca="1" si="4"/>
        <v>00:38</v>
      </c>
      <c r="P9" s="20" t="str">
        <f t="shared" ca="1" si="4"/>
        <v>00:28</v>
      </c>
      <c r="Q9" s="20" t="str">
        <f t="shared" ca="1" si="4"/>
        <v>00:09</v>
      </c>
      <c r="R9" s="20" t="str">
        <f t="shared" ca="1" si="4"/>
        <v/>
      </c>
      <c r="S9" s="20" t="str">
        <f t="shared" ca="1" si="4"/>
        <v/>
      </c>
      <c r="T9" s="20" t="str">
        <f t="shared" ca="1" si="4"/>
        <v>00:11</v>
      </c>
      <c r="U9" s="20" t="str">
        <f t="shared" ca="1" si="4"/>
        <v/>
      </c>
      <c r="V9" s="20" t="str">
        <f t="shared" ca="1" si="4"/>
        <v/>
      </c>
      <c r="W9" s="20" t="str">
        <f t="shared" ca="1" si="4"/>
        <v>00:50</v>
      </c>
      <c r="X9" s="20" t="str">
        <f t="shared" ca="1" si="4"/>
        <v/>
      </c>
      <c r="Y9" s="20" t="str">
        <f t="shared" ca="1" si="4"/>
        <v/>
      </c>
      <c r="Z9" s="20" t="str">
        <f t="shared" ca="1" si="4"/>
        <v/>
      </c>
      <c r="AA9" s="20" t="str">
        <f t="shared" ca="1" si="4"/>
        <v>00:45</v>
      </c>
      <c r="AB9" s="20" t="str">
        <f t="shared" ca="1" si="4"/>
        <v/>
      </c>
      <c r="AC9" s="20" t="str">
        <f t="shared" ca="1" si="4"/>
        <v>00:49</v>
      </c>
      <c r="AD9" s="20" t="str">
        <f t="shared" ca="1" si="4"/>
        <v>00:36</v>
      </c>
      <c r="AE9" s="20" t="str">
        <f t="shared" ca="1" si="4"/>
        <v>00:23</v>
      </c>
      <c r="AF9" s="20" t="str">
        <f t="shared" ca="1" si="4"/>
        <v/>
      </c>
      <c r="AG9" s="20" t="str">
        <f t="shared" ca="1" si="4"/>
        <v>00:46</v>
      </c>
      <c r="AH9" s="20" t="str">
        <f t="shared" ca="1" si="4"/>
        <v>00:41</v>
      </c>
      <c r="AI9" s="20" t="str">
        <f t="shared" ref="AI9" ca="1" si="5">IF(AI8="P", IF($D7="G", TEXT(RAND()*(9.27-9.62)/24+9.62/24,"HH:MM"), IF($D7="A", TEXT(RAND()*(8.06-8.1)/24+8.15/24,"HH:MM"), IF($D7="B", TEXT(RAND()*(16.06-16.1)/24+16.15/24,"HH:MM"), IF($D7="C", TEXT(RAND()*(24.85-24.13)/24+24.13/24,"HH:MM"), " ")))), "")</f>
        <v>00:42</v>
      </c>
      <c r="AJ9" s="21"/>
      <c r="AK9" s="22"/>
      <c r="AL9" s="22"/>
      <c r="AM9" s="22"/>
      <c r="AN9" s="22"/>
      <c r="AO9" s="23" t="s">
        <v>22</v>
      </c>
    </row>
    <row r="10" spans="1:42" ht="15" x14ac:dyDescent="0.3">
      <c r="A10" s="19"/>
      <c r="B10" s="1" t="s">
        <v>22</v>
      </c>
      <c r="C10" s="48" t="s">
        <v>22</v>
      </c>
      <c r="D10" s="45" t="s">
        <v>2</v>
      </c>
      <c r="E10" s="20" t="str">
        <f ca="1">IF(E8="P", IF($D7="G", TEXT(RAND()*(18.85-18.13)/24+18.13/24,"HH:MM"), IF($D7="A", TEXT(RAND()*(16.85-16.13)/24+16.13/24,"HH:MM"), IF($D7="B", TEXT(RAND()*(24.85-24.13)/24+24.13/24,"HH:MM"), IF($D7="C", TEXT(RAND()*(8.85-8.13)/24+8.13/24,"HH:MM"), " ")))), "")</f>
        <v>08:32</v>
      </c>
      <c r="F10" s="20" t="str">
        <f t="shared" ref="F10:AH10" ca="1" si="6">IF(F8="P", IF($D7="G", TEXT(RAND()*(18.85-18.13)/24+18.13/24,"HH:MM"), IF($D7="A", TEXT(RAND()*(16.85-16.13)/24+16.13/24,"HH:MM"), IF($D7="B", TEXT(RAND()*(24.85-24.13)/24+24.13/24,"HH:MM"), IF($D7="C", TEXT(RAND()*(8.85-8.13)/24+8.13/24,"HH:MM"), " ")))), "")</f>
        <v>08:29</v>
      </c>
      <c r="G10" s="20" t="str">
        <f t="shared" ca="1" si="6"/>
        <v>08:34</v>
      </c>
      <c r="H10" s="20" t="str">
        <f t="shared" ca="1" si="6"/>
        <v>08:16</v>
      </c>
      <c r="I10" s="20" t="str">
        <f t="shared" ca="1" si="6"/>
        <v>08:09</v>
      </c>
      <c r="J10" s="20" t="str">
        <f t="shared" ca="1" si="6"/>
        <v>08:21</v>
      </c>
      <c r="K10" s="20" t="str">
        <f t="shared" ca="1" si="6"/>
        <v/>
      </c>
      <c r="L10" s="20" t="str">
        <f t="shared" ca="1" si="6"/>
        <v>08:42</v>
      </c>
      <c r="M10" s="20" t="str">
        <f t="shared" ca="1" si="6"/>
        <v>08:12</v>
      </c>
      <c r="N10" s="20" t="str">
        <f t="shared" ca="1" si="6"/>
        <v>08:14</v>
      </c>
      <c r="O10" s="20" t="str">
        <f t="shared" ca="1" si="6"/>
        <v>08:46</v>
      </c>
      <c r="P10" s="20" t="str">
        <f t="shared" ca="1" si="6"/>
        <v>08:13</v>
      </c>
      <c r="Q10" s="20" t="str">
        <f t="shared" ca="1" si="6"/>
        <v>08:44</v>
      </c>
      <c r="R10" s="20" t="str">
        <f t="shared" ca="1" si="6"/>
        <v/>
      </c>
      <c r="S10" s="20" t="str">
        <f t="shared" ca="1" si="6"/>
        <v/>
      </c>
      <c r="T10" s="20" t="str">
        <f t="shared" ca="1" si="6"/>
        <v>08:21</v>
      </c>
      <c r="U10" s="20" t="str">
        <f t="shared" ca="1" si="6"/>
        <v/>
      </c>
      <c r="V10" s="20" t="str">
        <f t="shared" ca="1" si="6"/>
        <v/>
      </c>
      <c r="W10" s="20" t="str">
        <f t="shared" ca="1" si="6"/>
        <v>08:49</v>
      </c>
      <c r="X10" s="20" t="str">
        <f t="shared" ca="1" si="6"/>
        <v/>
      </c>
      <c r="Y10" s="20" t="str">
        <f t="shared" ca="1" si="6"/>
        <v/>
      </c>
      <c r="Z10" s="20" t="str">
        <f t="shared" ca="1" si="6"/>
        <v/>
      </c>
      <c r="AA10" s="20" t="str">
        <f t="shared" ca="1" si="6"/>
        <v>08:33</v>
      </c>
      <c r="AB10" s="20" t="str">
        <f t="shared" ca="1" si="6"/>
        <v/>
      </c>
      <c r="AC10" s="20" t="str">
        <f t="shared" ca="1" si="6"/>
        <v>08:09</v>
      </c>
      <c r="AD10" s="20" t="str">
        <f t="shared" ca="1" si="6"/>
        <v>08:24</v>
      </c>
      <c r="AE10" s="20" t="str">
        <f t="shared" ca="1" si="6"/>
        <v>08:38</v>
      </c>
      <c r="AF10" s="20" t="str">
        <f t="shared" ca="1" si="6"/>
        <v/>
      </c>
      <c r="AG10" s="20" t="str">
        <f t="shared" ca="1" si="6"/>
        <v>08:42</v>
      </c>
      <c r="AH10" s="20" t="str">
        <f t="shared" ca="1" si="6"/>
        <v>08:17</v>
      </c>
      <c r="AI10" s="20" t="str">
        <f t="shared" ref="AI10" ca="1" si="7">IF(AI8="P", IF($D7="G", TEXT(RAND()*(18.85-18.13)/24+18.13/24,"HH:MM"), IF($D7="A", TEXT(RAND()*(16.85-16.13)/24+16.13/24,"HH:MM"), IF($D7="B", TEXT(RAND()*(24.85-24.13)/24+24.13/24,"HH:MM"), IF($D7="C", TEXT(RAND()*(8.85-8.13)/24+8.13/24,"HH:MM"), " ")))), "")</f>
        <v>08:33</v>
      </c>
      <c r="AJ10" s="24" t="s">
        <v>13</v>
      </c>
      <c r="AK10" s="25"/>
      <c r="AL10" s="25"/>
      <c r="AM10" s="25"/>
      <c r="AN10" s="25"/>
      <c r="AO10" s="23" t="s">
        <v>22</v>
      </c>
    </row>
    <row r="11" spans="1:42" ht="15" x14ac:dyDescent="0.3">
      <c r="A11" s="26"/>
      <c r="B11" s="1" t="s">
        <v>22</v>
      </c>
      <c r="C11" s="48" t="s">
        <v>22</v>
      </c>
      <c r="D11" s="45" t="s">
        <v>14</v>
      </c>
      <c r="E11" s="27">
        <f ca="1">IF(E8="P", MOD(E10-E9, 1), " ")</f>
        <v>0.34791666666666671</v>
      </c>
      <c r="F11" s="27">
        <f t="shared" ref="F11:AH11" ca="1" si="8">IF(F8="P", MOD(F10-F9, 1), " ")</f>
        <v>0.34097222222222223</v>
      </c>
      <c r="G11" s="27">
        <f t="shared" ca="1" si="8"/>
        <v>0.34513888888888888</v>
      </c>
      <c r="H11" s="27">
        <f t="shared" ca="1" si="8"/>
        <v>0.32430555555555557</v>
      </c>
      <c r="I11" s="27">
        <f t="shared" ca="1" si="8"/>
        <v>0.31805555555555559</v>
      </c>
      <c r="J11" s="27">
        <f t="shared" ca="1" si="8"/>
        <v>0.31527777777777777</v>
      </c>
      <c r="K11" s="27" t="str">
        <f t="shared" si="8"/>
        <v xml:space="preserve"> </v>
      </c>
      <c r="L11" s="27">
        <f t="shared" ca="1" si="8"/>
        <v>0.34791666666666665</v>
      </c>
      <c r="M11" s="27">
        <f t="shared" ca="1" si="8"/>
        <v>0.32013888888888892</v>
      </c>
      <c r="N11" s="27">
        <f t="shared" ca="1" si="8"/>
        <v>0.31527777777777777</v>
      </c>
      <c r="O11" s="27">
        <f t="shared" ca="1" si="8"/>
        <v>0.33888888888888885</v>
      </c>
      <c r="P11" s="27">
        <f t="shared" ca="1" si="8"/>
        <v>0.32291666666666669</v>
      </c>
      <c r="Q11" s="27">
        <f t="shared" ca="1" si="8"/>
        <v>0.3576388888888889</v>
      </c>
      <c r="R11" s="27" t="str">
        <f t="shared" si="8"/>
        <v xml:space="preserve"> </v>
      </c>
      <c r="S11" s="27" t="str">
        <f t="shared" ca="1" si="8"/>
        <v xml:space="preserve"> </v>
      </c>
      <c r="T11" s="27">
        <f t="shared" ca="1" si="8"/>
        <v>0.34027777777777779</v>
      </c>
      <c r="U11" s="27" t="str">
        <f t="shared" ca="1" si="8"/>
        <v xml:space="preserve"> </v>
      </c>
      <c r="V11" s="27" t="str">
        <f t="shared" ca="1" si="8"/>
        <v xml:space="preserve"> </v>
      </c>
      <c r="W11" s="27">
        <f t="shared" ca="1" si="8"/>
        <v>0.33263888888888893</v>
      </c>
      <c r="X11" s="27" t="str">
        <f t="shared" ca="1" si="8"/>
        <v xml:space="preserve"> </v>
      </c>
      <c r="Y11" s="27" t="str">
        <f t="shared" si="8"/>
        <v xml:space="preserve"> </v>
      </c>
      <c r="Z11" s="27" t="str">
        <f t="shared" ca="1" si="8"/>
        <v xml:space="preserve"> </v>
      </c>
      <c r="AA11" s="27">
        <f t="shared" ca="1" si="8"/>
        <v>0.32500000000000001</v>
      </c>
      <c r="AB11" s="27" t="str">
        <f t="shared" ca="1" si="8"/>
        <v xml:space="preserve"> </v>
      </c>
      <c r="AC11" s="27">
        <f t="shared" ca="1" si="8"/>
        <v>0.30555555555555558</v>
      </c>
      <c r="AD11" s="27">
        <f t="shared" ca="1" si="8"/>
        <v>0.32499999999999996</v>
      </c>
      <c r="AE11" s="27">
        <f t="shared" ca="1" si="8"/>
        <v>0.34375</v>
      </c>
      <c r="AF11" s="27" t="str">
        <f t="shared" si="8"/>
        <v xml:space="preserve"> </v>
      </c>
      <c r="AG11" s="27">
        <f t="shared" ca="1" si="8"/>
        <v>0.33055555555555555</v>
      </c>
      <c r="AH11" s="27">
        <f t="shared" ca="1" si="8"/>
        <v>0.31666666666666665</v>
      </c>
      <c r="AI11" s="27">
        <f t="shared" ref="AI11" ca="1" si="9">IF(AI8="P", MOD(AI10-AI9, 1), " ")</f>
        <v>0.32708333333333334</v>
      </c>
      <c r="AJ11" s="28">
        <f ca="1">AJ8*8</f>
        <v>168</v>
      </c>
      <c r="AK11" s="29"/>
      <c r="AL11" s="29"/>
      <c r="AM11" s="29"/>
      <c r="AN11" s="29"/>
      <c r="AO11" s="23" t="s">
        <v>22</v>
      </c>
    </row>
    <row r="12" spans="1:42" ht="15" x14ac:dyDescent="0.3">
      <c r="A12" s="26"/>
      <c r="B12" s="1" t="s">
        <v>22</v>
      </c>
      <c r="C12" s="48" t="s">
        <v>22</v>
      </c>
      <c r="D12" s="45" t="s">
        <v>19</v>
      </c>
      <c r="E12" s="27" t="str">
        <f ca="1">IF(E8="P","08:00"," ")</f>
        <v>08:00</v>
      </c>
      <c r="F12" s="27" t="str">
        <f t="shared" ref="F12:AH12" ca="1" si="10">IF(F8="P","08:00"," ")</f>
        <v>08:00</v>
      </c>
      <c r="G12" s="27" t="str">
        <f t="shared" ca="1" si="10"/>
        <v>08:00</v>
      </c>
      <c r="H12" s="27" t="str">
        <f t="shared" ca="1" si="10"/>
        <v>08:00</v>
      </c>
      <c r="I12" s="27" t="str">
        <f t="shared" ca="1" si="10"/>
        <v>08:00</v>
      </c>
      <c r="J12" s="27" t="str">
        <f t="shared" ca="1" si="10"/>
        <v>08:00</v>
      </c>
      <c r="K12" s="27" t="str">
        <f t="shared" si="10"/>
        <v xml:space="preserve"> </v>
      </c>
      <c r="L12" s="27" t="str">
        <f t="shared" ca="1" si="10"/>
        <v>08:00</v>
      </c>
      <c r="M12" s="27" t="str">
        <f t="shared" ca="1" si="10"/>
        <v>08:00</v>
      </c>
      <c r="N12" s="27" t="str">
        <f t="shared" ca="1" si="10"/>
        <v>08:00</v>
      </c>
      <c r="O12" s="27" t="str">
        <f t="shared" ca="1" si="10"/>
        <v>08:00</v>
      </c>
      <c r="P12" s="27" t="str">
        <f t="shared" ca="1" si="10"/>
        <v>08:00</v>
      </c>
      <c r="Q12" s="27" t="str">
        <f t="shared" ca="1" si="10"/>
        <v>08:00</v>
      </c>
      <c r="R12" s="27" t="str">
        <f t="shared" si="10"/>
        <v xml:space="preserve"> </v>
      </c>
      <c r="S12" s="27" t="str">
        <f t="shared" ca="1" si="10"/>
        <v xml:space="preserve"> </v>
      </c>
      <c r="T12" s="27" t="str">
        <f t="shared" ca="1" si="10"/>
        <v>08:00</v>
      </c>
      <c r="U12" s="27" t="str">
        <f t="shared" ca="1" si="10"/>
        <v xml:space="preserve"> </v>
      </c>
      <c r="V12" s="27" t="str">
        <f t="shared" ca="1" si="10"/>
        <v xml:space="preserve"> </v>
      </c>
      <c r="W12" s="27" t="str">
        <f t="shared" ca="1" si="10"/>
        <v>08:00</v>
      </c>
      <c r="X12" s="27" t="str">
        <f t="shared" ca="1" si="10"/>
        <v xml:space="preserve"> </v>
      </c>
      <c r="Y12" s="27" t="str">
        <f t="shared" si="10"/>
        <v xml:space="preserve"> </v>
      </c>
      <c r="Z12" s="27" t="str">
        <f t="shared" ca="1" si="10"/>
        <v xml:space="preserve"> </v>
      </c>
      <c r="AA12" s="27" t="str">
        <f t="shared" ca="1" si="10"/>
        <v>08:00</v>
      </c>
      <c r="AB12" s="27" t="str">
        <f t="shared" ca="1" si="10"/>
        <v xml:space="preserve"> </v>
      </c>
      <c r="AC12" s="27" t="str">
        <f t="shared" ca="1" si="10"/>
        <v>08:00</v>
      </c>
      <c r="AD12" s="27" t="str">
        <f t="shared" ca="1" si="10"/>
        <v>08:00</v>
      </c>
      <c r="AE12" s="27" t="str">
        <f t="shared" ca="1" si="10"/>
        <v>08:00</v>
      </c>
      <c r="AF12" s="27" t="str">
        <f t="shared" si="10"/>
        <v xml:space="preserve"> </v>
      </c>
      <c r="AG12" s="27" t="str">
        <f t="shared" ca="1" si="10"/>
        <v>08:00</v>
      </c>
      <c r="AH12" s="27" t="str">
        <f t="shared" ca="1" si="10"/>
        <v>08:00</v>
      </c>
      <c r="AI12" s="27" t="str">
        <f t="shared" ref="AI12" ca="1" si="11">IF(AI8="P","08:00"," ")</f>
        <v>08:00</v>
      </c>
      <c r="AJ12" s="28"/>
      <c r="AK12" s="29"/>
      <c r="AL12" s="29"/>
      <c r="AM12" s="29"/>
      <c r="AN12" s="29"/>
      <c r="AO12" s="23" t="s">
        <v>22</v>
      </c>
    </row>
    <row r="13" spans="1:42" ht="15" x14ac:dyDescent="0.3">
      <c r="A13" s="26"/>
      <c r="B13" s="1" t="s">
        <v>22</v>
      </c>
      <c r="C13" s="48" t="s">
        <v>22</v>
      </c>
      <c r="D13" s="45" t="s">
        <v>12</v>
      </c>
      <c r="E13" s="27" t="str">
        <f ca="1">IF(E8="P","01:00"," ")</f>
        <v>01:00</v>
      </c>
      <c r="F13" s="27" t="str">
        <f t="shared" ref="F13:AH13" ca="1" si="12">IF(F8="P","01:00"," ")</f>
        <v>01:00</v>
      </c>
      <c r="G13" s="27" t="str">
        <f t="shared" ca="1" si="12"/>
        <v>01:00</v>
      </c>
      <c r="H13" s="27" t="str">
        <f t="shared" ca="1" si="12"/>
        <v>01:00</v>
      </c>
      <c r="I13" s="27" t="str">
        <f t="shared" ca="1" si="12"/>
        <v>01:00</v>
      </c>
      <c r="J13" s="27" t="str">
        <f t="shared" ca="1" si="12"/>
        <v>01:00</v>
      </c>
      <c r="K13" s="27" t="str">
        <f t="shared" si="12"/>
        <v xml:space="preserve"> </v>
      </c>
      <c r="L13" s="27" t="str">
        <f t="shared" ca="1" si="12"/>
        <v>01:00</v>
      </c>
      <c r="M13" s="27" t="str">
        <f t="shared" ca="1" si="12"/>
        <v>01:00</v>
      </c>
      <c r="N13" s="27" t="str">
        <f t="shared" ca="1" si="12"/>
        <v>01:00</v>
      </c>
      <c r="O13" s="27" t="str">
        <f t="shared" ca="1" si="12"/>
        <v>01:00</v>
      </c>
      <c r="P13" s="27" t="str">
        <f t="shared" ca="1" si="12"/>
        <v>01:00</v>
      </c>
      <c r="Q13" s="27" t="str">
        <f t="shared" ca="1" si="12"/>
        <v>01:00</v>
      </c>
      <c r="R13" s="27" t="str">
        <f t="shared" si="12"/>
        <v xml:space="preserve"> </v>
      </c>
      <c r="S13" s="27" t="str">
        <f t="shared" ca="1" si="12"/>
        <v xml:space="preserve"> </v>
      </c>
      <c r="T13" s="27" t="str">
        <f t="shared" ca="1" si="12"/>
        <v>01:00</v>
      </c>
      <c r="U13" s="27" t="str">
        <f t="shared" ca="1" si="12"/>
        <v xml:space="preserve"> </v>
      </c>
      <c r="V13" s="27" t="str">
        <f t="shared" ca="1" si="12"/>
        <v xml:space="preserve"> </v>
      </c>
      <c r="W13" s="27" t="str">
        <f t="shared" ca="1" si="12"/>
        <v>01:00</v>
      </c>
      <c r="X13" s="27" t="str">
        <f t="shared" ca="1" si="12"/>
        <v xml:space="preserve"> </v>
      </c>
      <c r="Y13" s="27" t="str">
        <f t="shared" si="12"/>
        <v xml:space="preserve"> </v>
      </c>
      <c r="Z13" s="27" t="str">
        <f t="shared" ca="1" si="12"/>
        <v xml:space="preserve"> </v>
      </c>
      <c r="AA13" s="27" t="str">
        <f t="shared" ca="1" si="12"/>
        <v>01:00</v>
      </c>
      <c r="AB13" s="27" t="str">
        <f t="shared" ca="1" si="12"/>
        <v xml:space="preserve"> </v>
      </c>
      <c r="AC13" s="27" t="str">
        <f t="shared" ca="1" si="12"/>
        <v>01:00</v>
      </c>
      <c r="AD13" s="27" t="str">
        <f t="shared" ca="1" si="12"/>
        <v>01:00</v>
      </c>
      <c r="AE13" s="27" t="str">
        <f t="shared" ca="1" si="12"/>
        <v>01:00</v>
      </c>
      <c r="AF13" s="27" t="str">
        <f t="shared" si="12"/>
        <v xml:space="preserve"> </v>
      </c>
      <c r="AG13" s="27" t="str">
        <f t="shared" ca="1" si="12"/>
        <v>01:00</v>
      </c>
      <c r="AH13" s="27" t="str">
        <f t="shared" ca="1" si="12"/>
        <v>01:00</v>
      </c>
      <c r="AI13" s="27" t="str">
        <f t="shared" ref="AI13" ca="1" si="13">IF(AI8="P","01:00"," ")</f>
        <v>01:00</v>
      </c>
      <c r="AJ13" s="24" t="s">
        <v>11</v>
      </c>
      <c r="AK13" s="25"/>
      <c r="AL13" s="25"/>
      <c r="AM13" s="25"/>
      <c r="AN13" s="25"/>
      <c r="AO13" s="23" t="s">
        <v>22</v>
      </c>
    </row>
    <row r="14" spans="1:42" ht="15" x14ac:dyDescent="0.3">
      <c r="A14" s="26"/>
      <c r="B14" s="1" t="s">
        <v>22</v>
      </c>
      <c r="C14" s="48" t="s">
        <v>22</v>
      </c>
      <c r="D14" s="45" t="s">
        <v>11</v>
      </c>
      <c r="E14" s="27">
        <f t="shared" ref="E14:AH14" ca="1" si="14">IF(E8="P",E11-E13," ")</f>
        <v>0.30625000000000002</v>
      </c>
      <c r="F14" s="27">
        <f t="shared" ca="1" si="14"/>
        <v>0.29930555555555555</v>
      </c>
      <c r="G14" s="27">
        <f t="shared" ca="1" si="14"/>
        <v>0.3034722222222222</v>
      </c>
      <c r="H14" s="27">
        <f t="shared" ca="1" si="14"/>
        <v>0.28263888888888888</v>
      </c>
      <c r="I14" s="27">
        <f t="shared" ca="1" si="14"/>
        <v>0.27638888888888891</v>
      </c>
      <c r="J14" s="27">
        <f t="shared" ca="1" si="14"/>
        <v>0.27361111111111108</v>
      </c>
      <c r="K14" s="27" t="str">
        <f t="shared" si="14"/>
        <v xml:space="preserve"> </v>
      </c>
      <c r="L14" s="27">
        <f t="shared" ca="1" si="14"/>
        <v>0.30624999999999997</v>
      </c>
      <c r="M14" s="27">
        <f t="shared" ca="1" si="14"/>
        <v>0.27847222222222223</v>
      </c>
      <c r="N14" s="27">
        <f t="shared" ca="1" si="14"/>
        <v>0.27361111111111108</v>
      </c>
      <c r="O14" s="27">
        <f t="shared" ca="1" si="14"/>
        <v>0.29722222222222217</v>
      </c>
      <c r="P14" s="27">
        <f t="shared" ca="1" si="14"/>
        <v>0.28125</v>
      </c>
      <c r="Q14" s="27">
        <f t="shared" ca="1" si="14"/>
        <v>0.31597222222222221</v>
      </c>
      <c r="R14" s="27" t="str">
        <f t="shared" si="14"/>
        <v xml:space="preserve"> </v>
      </c>
      <c r="S14" s="27" t="str">
        <f t="shared" ca="1" si="14"/>
        <v xml:space="preserve"> </v>
      </c>
      <c r="T14" s="27">
        <f t="shared" ca="1" si="14"/>
        <v>0.2986111111111111</v>
      </c>
      <c r="U14" s="27" t="str">
        <f t="shared" ca="1" si="14"/>
        <v xml:space="preserve"> </v>
      </c>
      <c r="V14" s="27" t="str">
        <f t="shared" ca="1" si="14"/>
        <v xml:space="preserve"> </v>
      </c>
      <c r="W14" s="27">
        <f t="shared" ca="1" si="14"/>
        <v>0.29097222222222224</v>
      </c>
      <c r="X14" s="27" t="str">
        <f t="shared" ca="1" si="14"/>
        <v xml:space="preserve"> </v>
      </c>
      <c r="Y14" s="27" t="str">
        <f t="shared" si="14"/>
        <v xml:space="preserve"> </v>
      </c>
      <c r="Z14" s="27" t="str">
        <f t="shared" ca="1" si="14"/>
        <v xml:space="preserve"> </v>
      </c>
      <c r="AA14" s="27">
        <f t="shared" ca="1" si="14"/>
        <v>0.28333333333333333</v>
      </c>
      <c r="AB14" s="27" t="str">
        <f t="shared" ca="1" si="14"/>
        <v xml:space="preserve"> </v>
      </c>
      <c r="AC14" s="27">
        <f t="shared" ca="1" si="14"/>
        <v>0.2638888888888889</v>
      </c>
      <c r="AD14" s="27">
        <f t="shared" ca="1" si="14"/>
        <v>0.28333333333333327</v>
      </c>
      <c r="AE14" s="27">
        <f t="shared" ca="1" si="14"/>
        <v>0.30208333333333331</v>
      </c>
      <c r="AF14" s="27" t="str">
        <f t="shared" si="14"/>
        <v xml:space="preserve"> </v>
      </c>
      <c r="AG14" s="27">
        <f t="shared" ca="1" si="14"/>
        <v>0.28888888888888886</v>
      </c>
      <c r="AH14" s="27">
        <f t="shared" ca="1" si="14"/>
        <v>0.27499999999999997</v>
      </c>
      <c r="AI14" s="27">
        <f t="shared" ref="AI14" ca="1" si="15">IF(AI8="P",AI11-AI13," ")</f>
        <v>0.28541666666666665</v>
      </c>
      <c r="AJ14" s="30">
        <f ca="1">SUM(E14:AH14)</f>
        <v>5.7805555555555559</v>
      </c>
      <c r="AK14" s="25"/>
      <c r="AL14" s="25"/>
      <c r="AM14" s="25"/>
      <c r="AN14" s="25"/>
      <c r="AO14" s="23" t="s">
        <v>22</v>
      </c>
    </row>
    <row r="15" spans="1:42" ht="15.6" thickBot="1" x14ac:dyDescent="0.35">
      <c r="A15" s="31"/>
      <c r="B15" s="32" t="s">
        <v>22</v>
      </c>
      <c r="C15" s="49" t="s">
        <v>22</v>
      </c>
      <c r="D15" s="46" t="s">
        <v>20</v>
      </c>
      <c r="E15" s="33">
        <f t="shared" ref="E15:AH15" ca="1" si="16">IF(E8="P",(IF(E12&gt;E14,0,E14-E12))," ")</f>
        <v>0</v>
      </c>
      <c r="F15" s="33">
        <f t="shared" ca="1" si="16"/>
        <v>0</v>
      </c>
      <c r="G15" s="33">
        <f t="shared" ca="1" si="16"/>
        <v>0</v>
      </c>
      <c r="H15" s="33">
        <f t="shared" ca="1" si="16"/>
        <v>0</v>
      </c>
      <c r="I15" s="33">
        <f t="shared" ca="1" si="16"/>
        <v>0</v>
      </c>
      <c r="J15" s="33">
        <f t="shared" ca="1" si="16"/>
        <v>0</v>
      </c>
      <c r="K15" s="33" t="str">
        <f t="shared" si="16"/>
        <v xml:space="preserve"> </v>
      </c>
      <c r="L15" s="33">
        <f t="shared" ca="1" si="16"/>
        <v>0</v>
      </c>
      <c r="M15" s="33">
        <f t="shared" ca="1" si="16"/>
        <v>0</v>
      </c>
      <c r="N15" s="33">
        <f t="shared" ca="1" si="16"/>
        <v>0</v>
      </c>
      <c r="O15" s="33">
        <f t="shared" ca="1" si="16"/>
        <v>0</v>
      </c>
      <c r="P15" s="33">
        <f t="shared" ca="1" si="16"/>
        <v>0</v>
      </c>
      <c r="Q15" s="33">
        <f t="shared" ca="1" si="16"/>
        <v>0</v>
      </c>
      <c r="R15" s="33" t="str">
        <f t="shared" si="16"/>
        <v xml:space="preserve"> </v>
      </c>
      <c r="S15" s="33" t="str">
        <f t="shared" ca="1" si="16"/>
        <v xml:space="preserve"> </v>
      </c>
      <c r="T15" s="33">
        <f t="shared" ca="1" si="16"/>
        <v>0</v>
      </c>
      <c r="U15" s="33" t="str">
        <f t="shared" ca="1" si="16"/>
        <v xml:space="preserve"> </v>
      </c>
      <c r="V15" s="33" t="str">
        <f t="shared" ca="1" si="16"/>
        <v xml:space="preserve"> </v>
      </c>
      <c r="W15" s="33">
        <f t="shared" ca="1" si="16"/>
        <v>0</v>
      </c>
      <c r="X15" s="33" t="str">
        <f t="shared" ca="1" si="16"/>
        <v xml:space="preserve"> </v>
      </c>
      <c r="Y15" s="33" t="str">
        <f t="shared" si="16"/>
        <v xml:space="preserve"> </v>
      </c>
      <c r="Z15" s="33" t="str">
        <f t="shared" ca="1" si="16"/>
        <v xml:space="preserve"> </v>
      </c>
      <c r="AA15" s="33">
        <f t="shared" ca="1" si="16"/>
        <v>0</v>
      </c>
      <c r="AB15" s="33" t="str">
        <f t="shared" ca="1" si="16"/>
        <v xml:space="preserve"> </v>
      </c>
      <c r="AC15" s="33">
        <f t="shared" ca="1" si="16"/>
        <v>0</v>
      </c>
      <c r="AD15" s="33">
        <f t="shared" ca="1" si="16"/>
        <v>0</v>
      </c>
      <c r="AE15" s="33">
        <f t="shared" ca="1" si="16"/>
        <v>0</v>
      </c>
      <c r="AF15" s="33" t="str">
        <f t="shared" si="16"/>
        <v xml:space="preserve"> </v>
      </c>
      <c r="AG15" s="33">
        <f t="shared" ca="1" si="16"/>
        <v>0</v>
      </c>
      <c r="AH15" s="33">
        <f t="shared" ca="1" si="16"/>
        <v>0</v>
      </c>
      <c r="AI15" s="33">
        <f t="shared" ref="AI15" ca="1" si="17">IF(AI8="P",(IF(AI12&gt;AI14,0,AI14-AI12))," ")</f>
        <v>0</v>
      </c>
      <c r="AJ15" s="34">
        <f ca="1">SUM(E15:AH15)</f>
        <v>0</v>
      </c>
      <c r="AK15" s="35"/>
      <c r="AL15" s="35"/>
      <c r="AM15" s="35"/>
      <c r="AN15" s="35"/>
      <c r="AO15" s="36" t="s">
        <v>22</v>
      </c>
    </row>
    <row r="16" spans="1:42" ht="15.6" thickBot="1" x14ac:dyDescent="0.35">
      <c r="A16" s="14"/>
      <c r="B16" s="15" t="s">
        <v>22</v>
      </c>
      <c r="C16" s="47" t="s">
        <v>22</v>
      </c>
      <c r="D16" s="37" t="s">
        <v>3</v>
      </c>
      <c r="E16" s="9">
        <f t="shared" ref="E16:T16" ca="1" si="18">IF(OR(E$5="",E$5=0),-2,IF(E$6=$D17,-1,RAND()))</f>
        <v>0.99405067435775196</v>
      </c>
      <c r="F16" s="9">
        <f t="shared" ca="1" si="18"/>
        <v>0.3356665500489795</v>
      </c>
      <c r="G16" s="9">
        <f t="shared" ca="1" si="18"/>
        <v>-1</v>
      </c>
      <c r="H16" s="9">
        <f t="shared" ca="1" si="18"/>
        <v>0.32196326904076256</v>
      </c>
      <c r="I16" s="9">
        <f t="shared" ca="1" si="18"/>
        <v>0.18198219925115688</v>
      </c>
      <c r="J16" s="9">
        <f t="shared" ca="1" si="18"/>
        <v>0.19899921769428042</v>
      </c>
      <c r="K16" s="9">
        <f t="shared" ca="1" si="18"/>
        <v>0.13516940863897997</v>
      </c>
      <c r="L16" s="9">
        <f t="shared" ca="1" si="18"/>
        <v>0.40825780255032607</v>
      </c>
      <c r="M16" s="9">
        <f t="shared" ca="1" si="18"/>
        <v>0.56111148948907996</v>
      </c>
      <c r="N16" s="9">
        <f t="shared" ca="1" si="18"/>
        <v>-1</v>
      </c>
      <c r="O16" s="9">
        <f t="shared" ca="1" si="18"/>
        <v>0.74638629781279542</v>
      </c>
      <c r="P16" s="9">
        <f t="shared" ca="1" si="18"/>
        <v>2.4801550721003096E-2</v>
      </c>
      <c r="Q16" s="9">
        <f t="shared" ca="1" si="18"/>
        <v>0.53035720156917154</v>
      </c>
      <c r="R16" s="9">
        <f t="shared" ca="1" si="18"/>
        <v>0.7078295255033491</v>
      </c>
      <c r="S16" s="9">
        <f t="shared" ca="1" si="18"/>
        <v>0.99647402182612899</v>
      </c>
      <c r="T16" s="9">
        <f t="shared" ca="1" si="18"/>
        <v>0.5892041760993737</v>
      </c>
      <c r="U16" s="9">
        <f t="shared" ref="U16:AI16" ca="1" si="19">IF(OR(U$5="",U$5=0),-2,IF(U$6=$D17,-1,RAND()))</f>
        <v>-1</v>
      </c>
      <c r="V16" s="9">
        <f t="shared" ca="1" si="19"/>
        <v>0.95858927512774972</v>
      </c>
      <c r="W16" s="9">
        <f t="shared" ca="1" si="19"/>
        <v>0.34532693608653686</v>
      </c>
      <c r="X16" s="9">
        <f t="shared" ca="1" si="19"/>
        <v>0.4582501648974634</v>
      </c>
      <c r="Y16" s="9">
        <f t="shared" ca="1" si="19"/>
        <v>0.22385000275675127</v>
      </c>
      <c r="Z16" s="9">
        <f t="shared" ca="1" si="19"/>
        <v>0.37797905330363046</v>
      </c>
      <c r="AA16" s="9">
        <f t="shared" ca="1" si="19"/>
        <v>0.89285672943243422</v>
      </c>
      <c r="AB16" s="9">
        <f t="shared" ca="1" si="19"/>
        <v>-1</v>
      </c>
      <c r="AC16" s="9">
        <f t="shared" ca="1" si="19"/>
        <v>0.7725812264143993</v>
      </c>
      <c r="AD16" s="9">
        <f t="shared" ca="1" si="19"/>
        <v>0.36117157683150469</v>
      </c>
      <c r="AE16" s="9">
        <f t="shared" ca="1" si="19"/>
        <v>0.81818945621583172</v>
      </c>
      <c r="AF16" s="9">
        <f t="shared" ca="1" si="19"/>
        <v>0.42427358366837542</v>
      </c>
      <c r="AG16" s="9">
        <f t="shared" ca="1" si="19"/>
        <v>0.11131691039836678</v>
      </c>
      <c r="AH16" s="9">
        <f t="shared" ca="1" si="19"/>
        <v>0.38177059687853909</v>
      </c>
      <c r="AI16" s="9">
        <f t="shared" ca="1" si="19"/>
        <v>-1</v>
      </c>
      <c r="AJ16" s="38"/>
      <c r="AK16" s="37"/>
      <c r="AL16" s="37"/>
      <c r="AM16" s="37"/>
      <c r="AN16" s="37"/>
      <c r="AO16" s="39" t="s">
        <v>22</v>
      </c>
    </row>
    <row r="17" spans="1:41" ht="15.6" thickBot="1" x14ac:dyDescent="0.35">
      <c r="A17" s="42"/>
      <c r="B17" s="44" t="s">
        <v>23</v>
      </c>
      <c r="C17" s="43" t="s">
        <v>45</v>
      </c>
      <c r="D17" s="37" t="s">
        <v>67</v>
      </c>
      <c r="E17" s="9" t="str">
        <f t="shared" ref="E17" ca="1" si="20">IF(OR(E$5="",E$5=0),"",IF(E$6=$D17,"W",IF(_xlfn.RANK.EQ(E16,$E16:$AI16,0)&lt;=INT($AO17),"P",IF(AND(_xlfn.RANK.EQ(E16,$E16:$AI16,0)=INT($AO17)+1,MOD($AO17,1)=0.5),"H","A"))))</f>
        <v>P</v>
      </c>
      <c r="F17" s="9" t="str">
        <f t="shared" ref="F17" ca="1" si="21">IF(OR(F$5="",F$5=0),"",IF(F$6=$D17,"W",IF(_xlfn.RANK.EQ(F16,$E16:$AI16,0)&lt;=INT($AO17),"P",IF(AND(_xlfn.RANK.EQ(F16,$E16:$AI16,0)=INT($AO17)+1,MOD($AO17,1)=0.5),"H","A"))))</f>
        <v>P</v>
      </c>
      <c r="G17" s="9" t="str">
        <f t="shared" ref="G17" si="22">IF(OR(G$5="",G$5=0),"",IF(G$6=$D17,"W",IF(_xlfn.RANK.EQ(G16,$E16:$AI16,0)&lt;=INT($AO17),"P",IF(AND(_xlfn.RANK.EQ(G16,$E16:$AI16,0)=INT($AO17)+1,MOD($AO17,1)=0.5),"H","A"))))</f>
        <v>W</v>
      </c>
      <c r="H17" s="9" t="str">
        <f t="shared" ref="H17" ca="1" si="23">IF(OR(H$5="",H$5=0),"",IF(H$6=$D17,"W",IF(_xlfn.RANK.EQ(H16,$E16:$AI16,0)&lt;=INT($AO17),"P",IF(AND(_xlfn.RANK.EQ(H16,$E16:$AI16,0)=INT($AO17)+1,MOD($AO17,1)=0.5),"H","A"))))</f>
        <v>P</v>
      </c>
      <c r="I17" s="9" t="str">
        <f t="shared" ref="I17" ca="1" si="24">IF(OR(I$5="",I$5=0),"",IF(I$6=$D17,"W",IF(_xlfn.RANK.EQ(I16,$E16:$AI16,0)&lt;=INT($AO17),"P",IF(AND(_xlfn.RANK.EQ(I16,$E16:$AI16,0)=INT($AO17)+1,MOD($AO17,1)=0.5),"H","A"))))</f>
        <v>P</v>
      </c>
      <c r="J17" s="9" t="str">
        <f t="shared" ref="J17" ca="1" si="25">IF(OR(J$5="",J$5=0),"",IF(J$6=$D17,"W",IF(_xlfn.RANK.EQ(J16,$E16:$AI16,0)&lt;=INT($AO17),"P",IF(AND(_xlfn.RANK.EQ(J16,$E16:$AI16,0)=INT($AO17)+1,MOD($AO17,1)=0.5),"H","A"))))</f>
        <v>P</v>
      </c>
      <c r="K17" s="9" t="str">
        <f t="shared" ref="K17" ca="1" si="26">IF(OR(K$5="",K$5=0),"",IF(K$6=$D17,"W",IF(_xlfn.RANK.EQ(K16,$E16:$AI16,0)&lt;=INT($AO17),"P",IF(AND(_xlfn.RANK.EQ(K16,$E16:$AI16,0)=INT($AO17)+1,MOD($AO17,1)=0.5),"H","A"))))</f>
        <v>P</v>
      </c>
      <c r="L17" s="9" t="str">
        <f t="shared" ref="L17" ca="1" si="27">IF(OR(L$5="",L$5=0),"",IF(L$6=$D17,"W",IF(_xlfn.RANK.EQ(L16,$E16:$AI16,0)&lt;=INT($AO17),"P",IF(AND(_xlfn.RANK.EQ(L16,$E16:$AI16,0)=INT($AO17)+1,MOD($AO17,1)=0.5),"H","A"))))</f>
        <v>P</v>
      </c>
      <c r="M17" s="9" t="str">
        <f t="shared" ref="M17" ca="1" si="28">IF(OR(M$5="",M$5=0),"",IF(M$6=$D17,"W",IF(_xlfn.RANK.EQ(M16,$E16:$AI16,0)&lt;=INT($AO17),"P",IF(AND(_xlfn.RANK.EQ(M16,$E16:$AI16,0)=INT($AO17)+1,MOD($AO17,1)=0.5),"H","A"))))</f>
        <v>P</v>
      </c>
      <c r="N17" s="9" t="str">
        <f t="shared" ref="N17" si="29">IF(OR(N$5="",N$5=0),"",IF(N$6=$D17,"W",IF(_xlfn.RANK.EQ(N16,$E16:$AI16,0)&lt;=INT($AO17),"P",IF(AND(_xlfn.RANK.EQ(N16,$E16:$AI16,0)=INT($AO17)+1,MOD($AO17,1)=0.5),"H","A"))))</f>
        <v>W</v>
      </c>
      <c r="O17" s="9" t="str">
        <f t="shared" ref="O17" ca="1" si="30">IF(OR(O$5="",O$5=0),"",IF(O$6=$D17,"W",IF(_xlfn.RANK.EQ(O16,$E16:$AI16,0)&lt;=INT($AO17),"P",IF(AND(_xlfn.RANK.EQ(O16,$E16:$AI16,0)=INT($AO17)+1,MOD($AO17,1)=0.5),"H","A"))))</f>
        <v>P</v>
      </c>
      <c r="P17" s="9" t="str">
        <f t="shared" ref="P17" ca="1" si="31">IF(OR(P$5="",P$5=0),"",IF(P$6=$D17,"W",IF(_xlfn.RANK.EQ(P16,$E16:$AI16,0)&lt;=INT($AO17),"P",IF(AND(_xlfn.RANK.EQ(P16,$E16:$AI16,0)=INT($AO17)+1,MOD($AO17,1)=0.5),"H","A"))))</f>
        <v>P</v>
      </c>
      <c r="Q17" s="9" t="str">
        <f t="shared" ref="Q17" ca="1" si="32">IF(OR(Q$5="",Q$5=0),"",IF(Q$6=$D17,"W",IF(_xlfn.RANK.EQ(Q16,$E16:$AI16,0)&lt;=INT($AO17),"P",IF(AND(_xlfn.RANK.EQ(Q16,$E16:$AI16,0)=INT($AO17)+1,MOD($AO17,1)=0.5),"H","A"))))</f>
        <v>P</v>
      </c>
      <c r="R17" s="9" t="str">
        <f t="shared" ref="R17" ca="1" si="33">IF(OR(R$5="",R$5=0),"",IF(R$6=$D17,"W",IF(_xlfn.RANK.EQ(R16,$E16:$AI16,0)&lt;=INT($AO17),"P",IF(AND(_xlfn.RANK.EQ(R16,$E16:$AI16,0)=INT($AO17)+1,MOD($AO17,1)=0.5),"H","A"))))</f>
        <v>P</v>
      </c>
      <c r="S17" s="9" t="str">
        <f t="shared" ref="S17" ca="1" si="34">IF(OR(S$5="",S$5=0),"",IF(S$6=$D17,"W",IF(_xlfn.RANK.EQ(S16,$E16:$AI16,0)&lt;=INT($AO17),"P",IF(AND(_xlfn.RANK.EQ(S16,$E16:$AI16,0)=INT($AO17)+1,MOD($AO17,1)=0.5),"H","A"))))</f>
        <v>P</v>
      </c>
      <c r="T17" s="9" t="str">
        <f t="shared" ref="T17" ca="1" si="35">IF(OR(T$5="",T$5=0),"",IF(T$6=$D17,"W",IF(_xlfn.RANK.EQ(T16,$E16:$AI16,0)&lt;=INT($AO17),"P",IF(AND(_xlfn.RANK.EQ(T16,$E16:$AI16,0)=INT($AO17)+1,MOD($AO17,1)=0.5),"H","A"))))</f>
        <v>P</v>
      </c>
      <c r="U17" s="9" t="str">
        <f t="shared" ref="U17" si="36">IF(OR(U$5="",U$5=0),"",IF(U$6=$D17,"W",IF(_xlfn.RANK.EQ(U16,$E16:$AI16,0)&lt;=INT($AO17),"P",IF(AND(_xlfn.RANK.EQ(U16,$E16:$AI16,0)=INT($AO17)+1,MOD($AO17,1)=0.5),"H","A"))))</f>
        <v>W</v>
      </c>
      <c r="V17" s="9" t="str">
        <f t="shared" ref="V17" ca="1" si="37">IF(OR(V$5="",V$5=0),"",IF(V$6=$D17,"W",IF(_xlfn.RANK.EQ(V16,$E16:$AI16,0)&lt;=INT($AO17),"P",IF(AND(_xlfn.RANK.EQ(V16,$E16:$AI16,0)=INT($AO17)+1,MOD($AO17,1)=0.5),"H","A"))))</f>
        <v>P</v>
      </c>
      <c r="W17" s="9" t="str">
        <f t="shared" ref="W17" ca="1" si="38">IF(OR(W$5="",W$5=0),"",IF(W$6=$D17,"W",IF(_xlfn.RANK.EQ(W16,$E16:$AI16,0)&lt;=INT($AO17),"P",IF(AND(_xlfn.RANK.EQ(W16,$E16:$AI16,0)=INT($AO17)+1,MOD($AO17,1)=0.5),"H","A"))))</f>
        <v>P</v>
      </c>
      <c r="X17" s="9" t="str">
        <f t="shared" ref="X17" ca="1" si="39">IF(OR(X$5="",X$5=0),"",IF(X$6=$D17,"W",IF(_xlfn.RANK.EQ(X16,$E16:$AI16,0)&lt;=INT($AO17),"P",IF(AND(_xlfn.RANK.EQ(X16,$E16:$AI16,0)=INT($AO17)+1,MOD($AO17,1)=0.5),"H","A"))))</f>
        <v>P</v>
      </c>
      <c r="Y17" s="9" t="str">
        <f t="shared" ref="Y17" ca="1" si="40">IF(OR(Y$5="",Y$5=0),"",IF(Y$6=$D17,"W",IF(_xlfn.RANK.EQ(Y16,$E16:$AI16,0)&lt;=INT($AO17),"P",IF(AND(_xlfn.RANK.EQ(Y16,$E16:$AI16,0)=INT($AO17)+1,MOD($AO17,1)=0.5),"H","A"))))</f>
        <v>P</v>
      </c>
      <c r="Z17" s="9" t="str">
        <f t="shared" ref="Z17" ca="1" si="41">IF(OR(Z$5="",Z$5=0),"",IF(Z$6=$D17,"W",IF(_xlfn.RANK.EQ(Z16,$E16:$AI16,0)&lt;=INT($AO17),"P",IF(AND(_xlfn.RANK.EQ(Z16,$E16:$AI16,0)=INT($AO17)+1,MOD($AO17,1)=0.5),"H","A"))))</f>
        <v>P</v>
      </c>
      <c r="AA17" s="9" t="str">
        <f t="shared" ref="AA17" ca="1" si="42">IF(OR(AA$5="",AA$5=0),"",IF(AA$6=$D17,"W",IF(_xlfn.RANK.EQ(AA16,$E16:$AI16,0)&lt;=INT($AO17),"P",IF(AND(_xlfn.RANK.EQ(AA16,$E16:$AI16,0)=INT($AO17)+1,MOD($AO17,1)=0.5),"H","A"))))</f>
        <v>P</v>
      </c>
      <c r="AB17" s="9" t="str">
        <f t="shared" ref="AB17" si="43">IF(OR(AB$5="",AB$5=0),"",IF(AB$6=$D17,"W",IF(_xlfn.RANK.EQ(AB16,$E16:$AI16,0)&lt;=INT($AO17),"P",IF(AND(_xlfn.RANK.EQ(AB16,$E16:$AI16,0)=INT($AO17)+1,MOD($AO17,1)=0.5),"H","A"))))</f>
        <v>W</v>
      </c>
      <c r="AC17" s="9" t="str">
        <f t="shared" ref="AC17" ca="1" si="44">IF(OR(AC$5="",AC$5=0),"",IF(AC$6=$D17,"W",IF(_xlfn.RANK.EQ(AC16,$E16:$AI16,0)&lt;=INT($AO17),"P",IF(AND(_xlfn.RANK.EQ(AC16,$E16:$AI16,0)=INT($AO17)+1,MOD($AO17,1)=0.5),"H","A"))))</f>
        <v>P</v>
      </c>
      <c r="AD17" s="9" t="str">
        <f t="shared" ref="AD17" ca="1" si="45">IF(OR(AD$5="",AD$5=0),"",IF(AD$6=$D17,"W",IF(_xlfn.RANK.EQ(AD16,$E16:$AI16,0)&lt;=INT($AO17),"P",IF(AND(_xlfn.RANK.EQ(AD16,$E16:$AI16,0)=INT($AO17)+1,MOD($AO17,1)=0.5),"H","A"))))</f>
        <v>P</v>
      </c>
      <c r="AE17" s="9" t="str">
        <f t="shared" ref="AE17" ca="1" si="46">IF(OR(AE$5="",AE$5=0),"",IF(AE$6=$D17,"W",IF(_xlfn.RANK.EQ(AE16,$E16:$AI16,0)&lt;=INT($AO17),"P",IF(AND(_xlfn.RANK.EQ(AE16,$E16:$AI16,0)=INT($AO17)+1,MOD($AO17,1)=0.5),"H","A"))))</f>
        <v>P</v>
      </c>
      <c r="AF17" s="9" t="str">
        <f t="shared" ref="AF17" ca="1" si="47">IF(OR(AF$5="",AF$5=0),"",IF(AF$6=$D17,"W",IF(_xlfn.RANK.EQ(AF16,$E16:$AI16,0)&lt;=INT($AO17),"P",IF(AND(_xlfn.RANK.EQ(AF16,$E16:$AI16,0)=INT($AO17)+1,MOD($AO17,1)=0.5),"H","A"))))</f>
        <v>P</v>
      </c>
      <c r="AG17" s="9" t="str">
        <f t="shared" ref="AG17" ca="1" si="48">IF(OR(AG$5="",AG$5=0),"",IF(AG$6=$D17,"W",IF(_xlfn.RANK.EQ(AG16,$E16:$AI16,0)&lt;=INT($AO17),"P",IF(AND(_xlfn.RANK.EQ(AG16,$E16:$AI16,0)=INT($AO17)+1,MOD($AO17,1)=0.5),"H","A"))))</f>
        <v>P</v>
      </c>
      <c r="AH17" s="9" t="str">
        <f t="shared" ref="AH17" ca="1" si="49">IF(OR(AH$5="",AH$5=0),"",IF(AH$6=$D17,"W",IF(_xlfn.RANK.EQ(AH16,$E16:$AI16,0)&lt;=INT($AO17),"P",IF(AND(_xlfn.RANK.EQ(AH16,$E16:$AI16,0)=INT($AO17)+1,MOD($AO17,1)=0.5),"H","A"))))</f>
        <v>P</v>
      </c>
      <c r="AI17" s="9" t="str">
        <f t="shared" ref="AI17" si="50">IF(OR(AI$5="",AI$5=0),"",IF(AI$6=$D17,"W",IF(_xlfn.RANK.EQ(AI16,$E16:$AI16,0)&lt;=INT($AO17),"P",IF(AND(_xlfn.RANK.EQ(AI16,$E16:$AI16,0)=INT($AO17)+1,MOD($AO17,1)=0.5),"H","A"))))</f>
        <v>W</v>
      </c>
      <c r="AJ17" s="16">
        <f t="shared" ref="AJ17" ca="1" si="51">COUNTIF(E17:AI17, "P")</f>
        <v>26</v>
      </c>
      <c r="AK17" s="17">
        <f t="shared" ref="AK17" ca="1" si="52">COUNTIF(E17:AH17, "A")</f>
        <v>0</v>
      </c>
      <c r="AL17" s="17">
        <f t="shared" ref="AL17" ca="1" si="53">COUNTIF(E17:AH17, "W")</f>
        <v>4</v>
      </c>
      <c r="AM17" s="17">
        <f t="shared" ref="AM17" ca="1" si="54">COUNTIF(E17:AH17, "H")</f>
        <v>0</v>
      </c>
      <c r="AN17" s="17">
        <f t="shared" ref="AN17" ca="1" si="55">COUNTIF(E17:AH17, "PL")</f>
        <v>0</v>
      </c>
      <c r="AO17" s="18">
        <v>26</v>
      </c>
    </row>
    <row r="18" spans="1:41" ht="15" x14ac:dyDescent="0.3">
      <c r="A18" s="19"/>
      <c r="B18" s="1" t="s">
        <v>22</v>
      </c>
      <c r="C18" s="48" t="s">
        <v>22</v>
      </c>
      <c r="D18" s="45" t="s">
        <v>1</v>
      </c>
      <c r="E18" s="20" t="str">
        <f t="shared" ref="E18:AI27" ca="1" si="56">IF(E17="P", IF($D16="G", TEXT(RAND()*(9.27-9.62)/24+9.62/24,"HH:MM"), IF($D16="A", TEXT(RAND()*(8.06-8.1)/24+8.15/24,"HH:MM"), IF($D16="B", TEXT(RAND()*(16.06-16.1)/24+16.15/24,"HH:MM"), IF($D16="C", TEXT(RAND()*(24.85-24.13)/24+24.13/24,"HH:MM"), " ")))), "")</f>
        <v>08:08</v>
      </c>
      <c r="F18" s="20" t="str">
        <f t="shared" ca="1" si="56"/>
        <v>08:07</v>
      </c>
      <c r="G18" s="20" t="str">
        <f t="shared" ca="1" si="56"/>
        <v/>
      </c>
      <c r="H18" s="20" t="str">
        <f t="shared" ca="1" si="56"/>
        <v>08:06</v>
      </c>
      <c r="I18" s="20" t="str">
        <f t="shared" ca="1" si="56"/>
        <v>08:07</v>
      </c>
      <c r="J18" s="20" t="str">
        <f t="shared" ca="1" si="56"/>
        <v>08:07</v>
      </c>
      <c r="K18" s="20" t="str">
        <f t="shared" ca="1" si="56"/>
        <v>08:08</v>
      </c>
      <c r="L18" s="20" t="str">
        <f t="shared" ca="1" si="56"/>
        <v>08:08</v>
      </c>
      <c r="M18" s="20" t="str">
        <f t="shared" ca="1" si="56"/>
        <v>08:07</v>
      </c>
      <c r="N18" s="20" t="str">
        <f t="shared" ca="1" si="56"/>
        <v/>
      </c>
      <c r="O18" s="20" t="str">
        <f t="shared" ca="1" si="56"/>
        <v>08:08</v>
      </c>
      <c r="P18" s="20" t="str">
        <f t="shared" ca="1" si="56"/>
        <v>08:07</v>
      </c>
      <c r="Q18" s="20" t="str">
        <f t="shared" ca="1" si="56"/>
        <v>08:08</v>
      </c>
      <c r="R18" s="20" t="str">
        <f t="shared" ca="1" si="56"/>
        <v>08:08</v>
      </c>
      <c r="S18" s="20" t="str">
        <f t="shared" ca="1" si="56"/>
        <v>08:07</v>
      </c>
      <c r="T18" s="20" t="str">
        <f t="shared" ca="1" si="56"/>
        <v>08:08</v>
      </c>
      <c r="U18" s="20" t="str">
        <f t="shared" ca="1" si="56"/>
        <v/>
      </c>
      <c r="V18" s="20" t="str">
        <f t="shared" ca="1" si="56"/>
        <v>08:07</v>
      </c>
      <c r="W18" s="20" t="str">
        <f t="shared" ca="1" si="56"/>
        <v>08:07</v>
      </c>
      <c r="X18" s="20" t="str">
        <f t="shared" ca="1" si="56"/>
        <v>08:08</v>
      </c>
      <c r="Y18" s="20" t="str">
        <f t="shared" ca="1" si="56"/>
        <v>08:08</v>
      </c>
      <c r="Z18" s="20" t="str">
        <f t="shared" ca="1" si="56"/>
        <v>08:08</v>
      </c>
      <c r="AA18" s="20" t="str">
        <f t="shared" ca="1" si="56"/>
        <v>08:08</v>
      </c>
      <c r="AB18" s="20" t="str">
        <f t="shared" ca="1" si="56"/>
        <v/>
      </c>
      <c r="AC18" s="20" t="str">
        <f t="shared" ca="1" si="56"/>
        <v>08:07</v>
      </c>
      <c r="AD18" s="20" t="str">
        <f t="shared" ca="1" si="56"/>
        <v>08:08</v>
      </c>
      <c r="AE18" s="20" t="str">
        <f t="shared" ca="1" si="56"/>
        <v>08:08</v>
      </c>
      <c r="AF18" s="20" t="str">
        <f t="shared" ca="1" si="56"/>
        <v>08:07</v>
      </c>
      <c r="AG18" s="20" t="str">
        <f t="shared" ca="1" si="56"/>
        <v>08:07</v>
      </c>
      <c r="AH18" s="20" t="str">
        <f t="shared" ca="1" si="56"/>
        <v>08:08</v>
      </c>
      <c r="AI18" s="20" t="str">
        <f t="shared" ca="1" si="56"/>
        <v/>
      </c>
      <c r="AJ18" s="21"/>
      <c r="AK18" s="22"/>
      <c r="AL18" s="22"/>
      <c r="AM18" s="22"/>
      <c r="AN18" s="22"/>
      <c r="AO18" s="23" t="s">
        <v>22</v>
      </c>
    </row>
    <row r="19" spans="1:41" ht="15" x14ac:dyDescent="0.3">
      <c r="A19" s="19"/>
      <c r="B19" s="1" t="s">
        <v>22</v>
      </c>
      <c r="C19" s="48" t="s">
        <v>22</v>
      </c>
      <c r="D19" s="45" t="s">
        <v>2</v>
      </c>
      <c r="E19" s="20" t="str">
        <f t="shared" ref="E19:AI28" ca="1" si="57">IF(E17="P", IF($D16="G", TEXT(RAND()*(18.85-18.13)/24+18.13/24,"HH:MM"), IF($D16="A", TEXT(RAND()*(16.85-16.13)/24+16.13/24,"HH:MM"), IF($D16="B", TEXT(RAND()*(24.85-24.13)/24+24.13/24,"HH:MM"), IF($D16="C", TEXT(RAND()*(8.85-8.13)/24+8.13/24,"HH:MM"), " ")))), "")</f>
        <v>16:13</v>
      </c>
      <c r="F19" s="20" t="str">
        <f t="shared" ca="1" si="57"/>
        <v>16:39</v>
      </c>
      <c r="G19" s="20" t="str">
        <f t="shared" ca="1" si="57"/>
        <v/>
      </c>
      <c r="H19" s="20" t="str">
        <f t="shared" ca="1" si="57"/>
        <v>16:38</v>
      </c>
      <c r="I19" s="20" t="str">
        <f t="shared" ca="1" si="57"/>
        <v>16:47</v>
      </c>
      <c r="J19" s="20" t="str">
        <f t="shared" ca="1" si="57"/>
        <v>16:28</v>
      </c>
      <c r="K19" s="20" t="str">
        <f t="shared" ca="1" si="57"/>
        <v>16:32</v>
      </c>
      <c r="L19" s="20" t="str">
        <f t="shared" ca="1" si="57"/>
        <v>16:11</v>
      </c>
      <c r="M19" s="20" t="str">
        <f t="shared" ca="1" si="57"/>
        <v>16:44</v>
      </c>
      <c r="N19" s="20" t="str">
        <f t="shared" ca="1" si="57"/>
        <v/>
      </c>
      <c r="O19" s="20" t="str">
        <f t="shared" ca="1" si="57"/>
        <v>16:39</v>
      </c>
      <c r="P19" s="20" t="str">
        <f t="shared" ca="1" si="57"/>
        <v>16:27</v>
      </c>
      <c r="Q19" s="20" t="str">
        <f t="shared" ca="1" si="57"/>
        <v>16:30</v>
      </c>
      <c r="R19" s="20" t="str">
        <f t="shared" ca="1" si="57"/>
        <v>16:32</v>
      </c>
      <c r="S19" s="20" t="str">
        <f t="shared" ca="1" si="57"/>
        <v>16:10</v>
      </c>
      <c r="T19" s="20" t="str">
        <f t="shared" ca="1" si="57"/>
        <v>16:12</v>
      </c>
      <c r="U19" s="20" t="str">
        <f t="shared" ca="1" si="57"/>
        <v/>
      </c>
      <c r="V19" s="20" t="str">
        <f t="shared" ca="1" si="57"/>
        <v>16:28</v>
      </c>
      <c r="W19" s="20" t="str">
        <f t="shared" ca="1" si="57"/>
        <v>16:47</v>
      </c>
      <c r="X19" s="20" t="str">
        <f t="shared" ca="1" si="57"/>
        <v>16:29</v>
      </c>
      <c r="Y19" s="20" t="str">
        <f t="shared" ca="1" si="57"/>
        <v>16:10</v>
      </c>
      <c r="Z19" s="20" t="str">
        <f t="shared" ca="1" si="57"/>
        <v>16:46</v>
      </c>
      <c r="AA19" s="20" t="str">
        <f t="shared" ca="1" si="57"/>
        <v>16:42</v>
      </c>
      <c r="AB19" s="20" t="str">
        <f t="shared" ca="1" si="57"/>
        <v/>
      </c>
      <c r="AC19" s="20" t="str">
        <f t="shared" ca="1" si="57"/>
        <v>16:22</v>
      </c>
      <c r="AD19" s="20" t="str">
        <f t="shared" ca="1" si="57"/>
        <v>16:20</v>
      </c>
      <c r="AE19" s="20" t="str">
        <f t="shared" ca="1" si="57"/>
        <v>16:08</v>
      </c>
      <c r="AF19" s="20" t="str">
        <f t="shared" ca="1" si="57"/>
        <v>16:27</v>
      </c>
      <c r="AG19" s="20" t="str">
        <f t="shared" ca="1" si="57"/>
        <v>16:43</v>
      </c>
      <c r="AH19" s="20" t="str">
        <f t="shared" ca="1" si="57"/>
        <v>16:46</v>
      </c>
      <c r="AI19" s="20" t="str">
        <f t="shared" ca="1" si="57"/>
        <v/>
      </c>
      <c r="AJ19" s="24" t="s">
        <v>13</v>
      </c>
      <c r="AK19" s="25"/>
      <c r="AL19" s="25"/>
      <c r="AM19" s="25"/>
      <c r="AN19" s="25"/>
      <c r="AO19" s="23" t="s">
        <v>22</v>
      </c>
    </row>
    <row r="20" spans="1:41" ht="15" x14ac:dyDescent="0.3">
      <c r="A20" s="26"/>
      <c r="B20" s="1" t="s">
        <v>22</v>
      </c>
      <c r="C20" s="48" t="s">
        <v>22</v>
      </c>
      <c r="D20" s="45" t="s">
        <v>14</v>
      </c>
      <c r="E20" s="27">
        <f t="shared" ref="E20:AI29" ca="1" si="58">IF(E17="P", MOD(E19-E18, 1), " ")</f>
        <v>0.33680555555555558</v>
      </c>
      <c r="F20" s="27">
        <f t="shared" ca="1" si="58"/>
        <v>0.35555555555555551</v>
      </c>
      <c r="G20" s="27" t="str">
        <f t="shared" si="58"/>
        <v xml:space="preserve"> </v>
      </c>
      <c r="H20" s="27">
        <f t="shared" ca="1" si="58"/>
        <v>0.35555555555555551</v>
      </c>
      <c r="I20" s="27">
        <f t="shared" ca="1" si="58"/>
        <v>0.36111111111111105</v>
      </c>
      <c r="J20" s="27">
        <f t="shared" ca="1" si="58"/>
        <v>0.34791666666666665</v>
      </c>
      <c r="K20" s="27">
        <f t="shared" ca="1" si="58"/>
        <v>0.35</v>
      </c>
      <c r="L20" s="27">
        <f t="shared" ca="1" si="58"/>
        <v>0.3354166666666667</v>
      </c>
      <c r="M20" s="27">
        <f t="shared" ca="1" si="58"/>
        <v>0.35902777777777772</v>
      </c>
      <c r="N20" s="27" t="str">
        <f t="shared" si="58"/>
        <v xml:space="preserve"> </v>
      </c>
      <c r="O20" s="27">
        <f t="shared" ca="1" si="58"/>
        <v>0.35486111111111107</v>
      </c>
      <c r="P20" s="27">
        <f t="shared" ca="1" si="58"/>
        <v>0.34722222222222221</v>
      </c>
      <c r="Q20" s="27">
        <f t="shared" ca="1" si="58"/>
        <v>0.34861111111111109</v>
      </c>
      <c r="R20" s="27">
        <f t="shared" ca="1" si="58"/>
        <v>0.35</v>
      </c>
      <c r="S20" s="27">
        <f t="shared" ca="1" si="58"/>
        <v>0.3354166666666667</v>
      </c>
      <c r="T20" s="27">
        <f t="shared" ca="1" si="58"/>
        <v>0.33611111111111114</v>
      </c>
      <c r="U20" s="27" t="str">
        <f t="shared" si="58"/>
        <v xml:space="preserve"> </v>
      </c>
      <c r="V20" s="27">
        <f t="shared" ca="1" si="58"/>
        <v>0.34791666666666665</v>
      </c>
      <c r="W20" s="27">
        <f t="shared" ca="1" si="58"/>
        <v>0.36111111111111105</v>
      </c>
      <c r="X20" s="27">
        <f t="shared" ca="1" si="58"/>
        <v>0.34791666666666665</v>
      </c>
      <c r="Y20" s="27">
        <f t="shared" ca="1" si="58"/>
        <v>0.33472222222222225</v>
      </c>
      <c r="Z20" s="27">
        <f t="shared" ca="1" si="58"/>
        <v>0.35972222222222217</v>
      </c>
      <c r="AA20" s="27">
        <f t="shared" ca="1" si="58"/>
        <v>0.3569444444444444</v>
      </c>
      <c r="AB20" s="27" t="str">
        <f t="shared" si="58"/>
        <v xml:space="preserve"> </v>
      </c>
      <c r="AC20" s="27">
        <f t="shared" ca="1" si="58"/>
        <v>0.34375</v>
      </c>
      <c r="AD20" s="27">
        <f t="shared" ca="1" si="58"/>
        <v>0.34166666666666667</v>
      </c>
      <c r="AE20" s="27">
        <f t="shared" ca="1" si="58"/>
        <v>0.33333333333333337</v>
      </c>
      <c r="AF20" s="27">
        <f t="shared" ca="1" si="58"/>
        <v>0.34722222222222221</v>
      </c>
      <c r="AG20" s="27">
        <f t="shared" ca="1" si="58"/>
        <v>0.35833333333333328</v>
      </c>
      <c r="AH20" s="27">
        <f t="shared" ca="1" si="58"/>
        <v>0.35972222222222217</v>
      </c>
      <c r="AI20" s="27" t="str">
        <f t="shared" si="58"/>
        <v xml:space="preserve"> </v>
      </c>
      <c r="AJ20" s="28">
        <f t="shared" ref="AJ20" ca="1" si="59">AJ17*8</f>
        <v>208</v>
      </c>
      <c r="AK20" s="29"/>
      <c r="AL20" s="29"/>
      <c r="AM20" s="29"/>
      <c r="AN20" s="29"/>
      <c r="AO20" s="23" t="s">
        <v>22</v>
      </c>
    </row>
    <row r="21" spans="1:41" ht="15" x14ac:dyDescent="0.3">
      <c r="A21" s="26"/>
      <c r="B21" s="1" t="s">
        <v>22</v>
      </c>
      <c r="C21" s="48" t="s">
        <v>22</v>
      </c>
      <c r="D21" s="45" t="s">
        <v>19</v>
      </c>
      <c r="E21" s="27" t="str">
        <f t="shared" ref="E21:AI30" ca="1" si="60">IF(E17="P","08:00"," ")</f>
        <v>08:00</v>
      </c>
      <c r="F21" s="27" t="str">
        <f t="shared" ca="1" si="60"/>
        <v>08:00</v>
      </c>
      <c r="G21" s="27" t="str">
        <f t="shared" si="60"/>
        <v xml:space="preserve"> </v>
      </c>
      <c r="H21" s="27" t="str">
        <f t="shared" ca="1" si="60"/>
        <v>08:00</v>
      </c>
      <c r="I21" s="27" t="str">
        <f t="shared" ca="1" si="60"/>
        <v>08:00</v>
      </c>
      <c r="J21" s="27" t="str">
        <f t="shared" ca="1" si="60"/>
        <v>08:00</v>
      </c>
      <c r="K21" s="27" t="str">
        <f t="shared" ca="1" si="60"/>
        <v>08:00</v>
      </c>
      <c r="L21" s="27" t="str">
        <f t="shared" ca="1" si="60"/>
        <v>08:00</v>
      </c>
      <c r="M21" s="27" t="str">
        <f t="shared" ca="1" si="60"/>
        <v>08:00</v>
      </c>
      <c r="N21" s="27" t="str">
        <f t="shared" si="60"/>
        <v xml:space="preserve"> </v>
      </c>
      <c r="O21" s="27" t="str">
        <f t="shared" ca="1" si="60"/>
        <v>08:00</v>
      </c>
      <c r="P21" s="27" t="str">
        <f t="shared" ca="1" si="60"/>
        <v>08:00</v>
      </c>
      <c r="Q21" s="27" t="str">
        <f t="shared" ca="1" si="60"/>
        <v>08:00</v>
      </c>
      <c r="R21" s="27" t="str">
        <f t="shared" ca="1" si="60"/>
        <v>08:00</v>
      </c>
      <c r="S21" s="27" t="str">
        <f t="shared" ca="1" si="60"/>
        <v>08:00</v>
      </c>
      <c r="T21" s="27" t="str">
        <f t="shared" ca="1" si="60"/>
        <v>08:00</v>
      </c>
      <c r="U21" s="27" t="str">
        <f t="shared" si="60"/>
        <v xml:space="preserve"> </v>
      </c>
      <c r="V21" s="27" t="str">
        <f t="shared" ca="1" si="60"/>
        <v>08:00</v>
      </c>
      <c r="W21" s="27" t="str">
        <f t="shared" ca="1" si="60"/>
        <v>08:00</v>
      </c>
      <c r="X21" s="27" t="str">
        <f t="shared" ca="1" si="60"/>
        <v>08:00</v>
      </c>
      <c r="Y21" s="27" t="str">
        <f t="shared" ca="1" si="60"/>
        <v>08:00</v>
      </c>
      <c r="Z21" s="27" t="str">
        <f t="shared" ca="1" si="60"/>
        <v>08:00</v>
      </c>
      <c r="AA21" s="27" t="str">
        <f t="shared" ca="1" si="60"/>
        <v>08:00</v>
      </c>
      <c r="AB21" s="27" t="str">
        <f t="shared" si="60"/>
        <v xml:space="preserve"> </v>
      </c>
      <c r="AC21" s="27" t="str">
        <f t="shared" ca="1" si="60"/>
        <v>08:00</v>
      </c>
      <c r="AD21" s="27" t="str">
        <f t="shared" ca="1" si="60"/>
        <v>08:00</v>
      </c>
      <c r="AE21" s="27" t="str">
        <f t="shared" ca="1" si="60"/>
        <v>08:00</v>
      </c>
      <c r="AF21" s="27" t="str">
        <f t="shared" ca="1" si="60"/>
        <v>08:00</v>
      </c>
      <c r="AG21" s="27" t="str">
        <f t="shared" ca="1" si="60"/>
        <v>08:00</v>
      </c>
      <c r="AH21" s="27" t="str">
        <f t="shared" ca="1" si="60"/>
        <v>08:00</v>
      </c>
      <c r="AI21" s="27" t="str">
        <f t="shared" si="60"/>
        <v xml:space="preserve"> </v>
      </c>
      <c r="AJ21" s="28"/>
      <c r="AK21" s="29"/>
      <c r="AL21" s="29"/>
      <c r="AM21" s="29"/>
      <c r="AN21" s="29"/>
      <c r="AO21" s="23" t="s">
        <v>22</v>
      </c>
    </row>
    <row r="22" spans="1:41" ht="15" x14ac:dyDescent="0.3">
      <c r="A22" s="26"/>
      <c r="B22" s="1" t="s">
        <v>22</v>
      </c>
      <c r="C22" s="48" t="s">
        <v>22</v>
      </c>
      <c r="D22" s="45" t="s">
        <v>12</v>
      </c>
      <c r="E22" s="27" t="str">
        <f t="shared" ref="E22:AI31" ca="1" si="61">IF(E17="P","01:00"," ")</f>
        <v>01:00</v>
      </c>
      <c r="F22" s="27" t="str">
        <f t="shared" ca="1" si="61"/>
        <v>01:00</v>
      </c>
      <c r="G22" s="27" t="str">
        <f t="shared" si="61"/>
        <v xml:space="preserve"> </v>
      </c>
      <c r="H22" s="27" t="str">
        <f t="shared" ca="1" si="61"/>
        <v>01:00</v>
      </c>
      <c r="I22" s="27" t="str">
        <f t="shared" ca="1" si="61"/>
        <v>01:00</v>
      </c>
      <c r="J22" s="27" t="str">
        <f t="shared" ca="1" si="61"/>
        <v>01:00</v>
      </c>
      <c r="K22" s="27" t="str">
        <f t="shared" ca="1" si="61"/>
        <v>01:00</v>
      </c>
      <c r="L22" s="27" t="str">
        <f t="shared" ca="1" si="61"/>
        <v>01:00</v>
      </c>
      <c r="M22" s="27" t="str">
        <f t="shared" ca="1" si="61"/>
        <v>01:00</v>
      </c>
      <c r="N22" s="27" t="str">
        <f t="shared" si="61"/>
        <v xml:space="preserve"> </v>
      </c>
      <c r="O22" s="27" t="str">
        <f t="shared" ca="1" si="61"/>
        <v>01:00</v>
      </c>
      <c r="P22" s="27" t="str">
        <f t="shared" ca="1" si="61"/>
        <v>01:00</v>
      </c>
      <c r="Q22" s="27" t="str">
        <f t="shared" ca="1" si="61"/>
        <v>01:00</v>
      </c>
      <c r="R22" s="27" t="str">
        <f t="shared" ca="1" si="61"/>
        <v>01:00</v>
      </c>
      <c r="S22" s="27" t="str">
        <f t="shared" ca="1" si="61"/>
        <v>01:00</v>
      </c>
      <c r="T22" s="27" t="str">
        <f t="shared" ca="1" si="61"/>
        <v>01:00</v>
      </c>
      <c r="U22" s="27" t="str">
        <f t="shared" si="61"/>
        <v xml:space="preserve"> </v>
      </c>
      <c r="V22" s="27" t="str">
        <f t="shared" ca="1" si="61"/>
        <v>01:00</v>
      </c>
      <c r="W22" s="27" t="str">
        <f t="shared" ca="1" si="61"/>
        <v>01:00</v>
      </c>
      <c r="X22" s="27" t="str">
        <f t="shared" ca="1" si="61"/>
        <v>01:00</v>
      </c>
      <c r="Y22" s="27" t="str">
        <f t="shared" ca="1" si="61"/>
        <v>01:00</v>
      </c>
      <c r="Z22" s="27" t="str">
        <f t="shared" ca="1" si="61"/>
        <v>01:00</v>
      </c>
      <c r="AA22" s="27" t="str">
        <f t="shared" ca="1" si="61"/>
        <v>01:00</v>
      </c>
      <c r="AB22" s="27" t="str">
        <f t="shared" si="61"/>
        <v xml:space="preserve"> </v>
      </c>
      <c r="AC22" s="27" t="str">
        <f t="shared" ca="1" si="61"/>
        <v>01:00</v>
      </c>
      <c r="AD22" s="27" t="str">
        <f t="shared" ca="1" si="61"/>
        <v>01:00</v>
      </c>
      <c r="AE22" s="27" t="str">
        <f t="shared" ca="1" si="61"/>
        <v>01:00</v>
      </c>
      <c r="AF22" s="27" t="str">
        <f t="shared" ca="1" si="61"/>
        <v>01:00</v>
      </c>
      <c r="AG22" s="27" t="str">
        <f t="shared" ca="1" si="61"/>
        <v>01:00</v>
      </c>
      <c r="AH22" s="27" t="str">
        <f t="shared" ca="1" si="61"/>
        <v>01:00</v>
      </c>
      <c r="AI22" s="27" t="str">
        <f t="shared" si="61"/>
        <v xml:space="preserve"> </v>
      </c>
      <c r="AJ22" s="24" t="s">
        <v>11</v>
      </c>
      <c r="AK22" s="25"/>
      <c r="AL22" s="25"/>
      <c r="AM22" s="25"/>
      <c r="AN22" s="25"/>
      <c r="AO22" s="23" t="s">
        <v>22</v>
      </c>
    </row>
    <row r="23" spans="1:41" ht="15" x14ac:dyDescent="0.3">
      <c r="A23" s="26"/>
      <c r="B23" s="1" t="s">
        <v>22</v>
      </c>
      <c r="C23" s="48" t="s">
        <v>22</v>
      </c>
      <c r="D23" s="45" t="s">
        <v>11</v>
      </c>
      <c r="E23" s="27">
        <f t="shared" ref="E23:AI32" ca="1" si="62">IF(E17="P",E20-E22," ")</f>
        <v>0.2951388888888889</v>
      </c>
      <c r="F23" s="27">
        <f t="shared" ca="1" si="62"/>
        <v>0.31388888888888883</v>
      </c>
      <c r="G23" s="27" t="str">
        <f t="shared" si="62"/>
        <v xml:space="preserve"> </v>
      </c>
      <c r="H23" s="27">
        <f t="shared" ca="1" si="62"/>
        <v>0.31388888888888883</v>
      </c>
      <c r="I23" s="27">
        <f t="shared" ca="1" si="62"/>
        <v>0.31944444444444436</v>
      </c>
      <c r="J23" s="27">
        <f t="shared" ca="1" si="62"/>
        <v>0.30624999999999997</v>
      </c>
      <c r="K23" s="27">
        <f t="shared" ca="1" si="62"/>
        <v>0.30833333333333329</v>
      </c>
      <c r="L23" s="27">
        <f t="shared" ca="1" si="62"/>
        <v>0.29375000000000001</v>
      </c>
      <c r="M23" s="27">
        <f t="shared" ca="1" si="62"/>
        <v>0.31736111111111104</v>
      </c>
      <c r="N23" s="27" t="str">
        <f t="shared" si="62"/>
        <v xml:space="preserve"> </v>
      </c>
      <c r="O23" s="27">
        <f t="shared" ca="1" si="62"/>
        <v>0.31319444444444439</v>
      </c>
      <c r="P23" s="27">
        <f t="shared" ca="1" si="62"/>
        <v>0.30555555555555552</v>
      </c>
      <c r="Q23" s="27">
        <f t="shared" ca="1" si="62"/>
        <v>0.30694444444444441</v>
      </c>
      <c r="R23" s="27">
        <f t="shared" ca="1" si="62"/>
        <v>0.30833333333333329</v>
      </c>
      <c r="S23" s="27">
        <f t="shared" ca="1" si="62"/>
        <v>0.29375000000000001</v>
      </c>
      <c r="T23" s="27">
        <f t="shared" ca="1" si="62"/>
        <v>0.29444444444444445</v>
      </c>
      <c r="U23" s="27" t="str">
        <f t="shared" si="62"/>
        <v xml:space="preserve"> </v>
      </c>
      <c r="V23" s="27">
        <f t="shared" ca="1" si="62"/>
        <v>0.30624999999999997</v>
      </c>
      <c r="W23" s="27">
        <f t="shared" ca="1" si="62"/>
        <v>0.31944444444444436</v>
      </c>
      <c r="X23" s="27">
        <f t="shared" ca="1" si="62"/>
        <v>0.30624999999999997</v>
      </c>
      <c r="Y23" s="27">
        <f t="shared" ca="1" si="62"/>
        <v>0.29305555555555557</v>
      </c>
      <c r="Z23" s="27">
        <f t="shared" ca="1" si="62"/>
        <v>0.31805555555555548</v>
      </c>
      <c r="AA23" s="27">
        <f t="shared" ca="1" si="62"/>
        <v>0.31527777777777771</v>
      </c>
      <c r="AB23" s="27" t="str">
        <f t="shared" si="62"/>
        <v xml:space="preserve"> </v>
      </c>
      <c r="AC23" s="27">
        <f t="shared" ca="1" si="62"/>
        <v>0.30208333333333331</v>
      </c>
      <c r="AD23" s="27">
        <f t="shared" ca="1" si="62"/>
        <v>0.3</v>
      </c>
      <c r="AE23" s="27">
        <f t="shared" ca="1" si="62"/>
        <v>0.29166666666666669</v>
      </c>
      <c r="AF23" s="27">
        <f t="shared" ca="1" si="62"/>
        <v>0.30555555555555552</v>
      </c>
      <c r="AG23" s="27">
        <f t="shared" ca="1" si="62"/>
        <v>0.3166666666666666</v>
      </c>
      <c r="AH23" s="27">
        <f t="shared" ca="1" si="62"/>
        <v>0.31805555555555548</v>
      </c>
      <c r="AI23" s="27" t="str">
        <f t="shared" si="62"/>
        <v xml:space="preserve"> </v>
      </c>
      <c r="AJ23" s="30">
        <f t="shared" ref="AJ23:AJ24" ca="1" si="63">SUM(E23:AH23)</f>
        <v>7.9826388888888884</v>
      </c>
      <c r="AK23" s="25"/>
      <c r="AL23" s="25"/>
      <c r="AM23" s="25"/>
      <c r="AN23" s="25"/>
      <c r="AO23" s="23" t="s">
        <v>22</v>
      </c>
    </row>
    <row r="24" spans="1:41" ht="15.6" thickBot="1" x14ac:dyDescent="0.35">
      <c r="A24" s="31"/>
      <c r="B24" s="32" t="s">
        <v>22</v>
      </c>
      <c r="C24" s="49" t="s">
        <v>22</v>
      </c>
      <c r="D24" s="46" t="s">
        <v>20</v>
      </c>
      <c r="E24" s="33">
        <f t="shared" ref="E24:AI33" ca="1" si="64">IF(E17="P",(IF(E21&gt;E23,0,E23-E21))," ")</f>
        <v>0</v>
      </c>
      <c r="F24" s="33">
        <f t="shared" ca="1" si="64"/>
        <v>0</v>
      </c>
      <c r="G24" s="33" t="str">
        <f t="shared" si="64"/>
        <v xml:space="preserve"> </v>
      </c>
      <c r="H24" s="33">
        <f t="shared" ca="1" si="64"/>
        <v>0</v>
      </c>
      <c r="I24" s="33">
        <f t="shared" ca="1" si="64"/>
        <v>0</v>
      </c>
      <c r="J24" s="33">
        <f t="shared" ca="1" si="64"/>
        <v>0</v>
      </c>
      <c r="K24" s="33">
        <f t="shared" ca="1" si="64"/>
        <v>0</v>
      </c>
      <c r="L24" s="33">
        <f t="shared" ca="1" si="64"/>
        <v>0</v>
      </c>
      <c r="M24" s="33">
        <f t="shared" ca="1" si="64"/>
        <v>0</v>
      </c>
      <c r="N24" s="33" t="str">
        <f t="shared" si="64"/>
        <v xml:space="preserve"> </v>
      </c>
      <c r="O24" s="33">
        <f t="shared" ca="1" si="64"/>
        <v>0</v>
      </c>
      <c r="P24" s="33">
        <f t="shared" ca="1" si="64"/>
        <v>0</v>
      </c>
      <c r="Q24" s="33">
        <f t="shared" ca="1" si="64"/>
        <v>0</v>
      </c>
      <c r="R24" s="33">
        <f t="shared" ca="1" si="64"/>
        <v>0</v>
      </c>
      <c r="S24" s="33">
        <f t="shared" ca="1" si="64"/>
        <v>0</v>
      </c>
      <c r="T24" s="33">
        <f t="shared" ca="1" si="64"/>
        <v>0</v>
      </c>
      <c r="U24" s="33" t="str">
        <f t="shared" si="64"/>
        <v xml:space="preserve"> </v>
      </c>
      <c r="V24" s="33">
        <f t="shared" ca="1" si="64"/>
        <v>0</v>
      </c>
      <c r="W24" s="33">
        <f t="shared" ca="1" si="64"/>
        <v>0</v>
      </c>
      <c r="X24" s="33">
        <f t="shared" ca="1" si="64"/>
        <v>0</v>
      </c>
      <c r="Y24" s="33">
        <f t="shared" ca="1" si="64"/>
        <v>0</v>
      </c>
      <c r="Z24" s="33">
        <f t="shared" ca="1" si="64"/>
        <v>0</v>
      </c>
      <c r="AA24" s="33">
        <f t="shared" ca="1" si="64"/>
        <v>0</v>
      </c>
      <c r="AB24" s="33" t="str">
        <f t="shared" si="64"/>
        <v xml:space="preserve"> </v>
      </c>
      <c r="AC24" s="33">
        <f t="shared" ca="1" si="64"/>
        <v>0</v>
      </c>
      <c r="AD24" s="33">
        <f t="shared" ca="1" si="64"/>
        <v>0</v>
      </c>
      <c r="AE24" s="33">
        <f t="shared" ca="1" si="64"/>
        <v>0</v>
      </c>
      <c r="AF24" s="33">
        <f t="shared" ca="1" si="64"/>
        <v>0</v>
      </c>
      <c r="AG24" s="33">
        <f t="shared" ca="1" si="64"/>
        <v>0</v>
      </c>
      <c r="AH24" s="33">
        <f t="shared" ca="1" si="64"/>
        <v>0</v>
      </c>
      <c r="AI24" s="33" t="str">
        <f t="shared" si="64"/>
        <v xml:space="preserve"> </v>
      </c>
      <c r="AJ24" s="34">
        <f t="shared" ca="1" si="63"/>
        <v>0</v>
      </c>
      <c r="AK24" s="35"/>
      <c r="AL24" s="35"/>
      <c r="AM24" s="35"/>
      <c r="AN24" s="35"/>
      <c r="AO24" s="36" t="s">
        <v>22</v>
      </c>
    </row>
    <row r="25" spans="1:41" ht="15.6" thickBot="1" x14ac:dyDescent="0.35">
      <c r="A25" s="14"/>
      <c r="B25" s="15" t="s">
        <v>22</v>
      </c>
      <c r="C25" s="47" t="s">
        <v>22</v>
      </c>
      <c r="D25" s="37" t="s">
        <v>3</v>
      </c>
      <c r="E25" s="9">
        <f t="shared" ref="E25:T25" ca="1" si="65">IF(OR(E$5="",E$5=0),-2,IF(E$6=$D26,-1,RAND()))</f>
        <v>0.90908395290608957</v>
      </c>
      <c r="F25" s="9">
        <f t="shared" ca="1" si="65"/>
        <v>-1</v>
      </c>
      <c r="G25" s="9">
        <f t="shared" ca="1" si="65"/>
        <v>0.21536951388511871</v>
      </c>
      <c r="H25" s="9">
        <f t="shared" ca="1" si="65"/>
        <v>9.3799404653640783E-2</v>
      </c>
      <c r="I25" s="9">
        <f t="shared" ca="1" si="65"/>
        <v>0.80217871662974183</v>
      </c>
      <c r="J25" s="9">
        <f t="shared" ca="1" si="65"/>
        <v>0.52060074265876155</v>
      </c>
      <c r="K25" s="9">
        <f t="shared" ca="1" si="65"/>
        <v>0.27464288379930302</v>
      </c>
      <c r="L25" s="9">
        <f t="shared" ca="1" si="65"/>
        <v>0.36696108795650906</v>
      </c>
      <c r="M25" s="9">
        <f t="shared" ca="1" si="65"/>
        <v>-1</v>
      </c>
      <c r="N25" s="9">
        <f t="shared" ca="1" si="65"/>
        <v>0.95079111234685165</v>
      </c>
      <c r="O25" s="9">
        <f t="shared" ca="1" si="65"/>
        <v>0.5323357050512636</v>
      </c>
      <c r="P25" s="9">
        <f t="shared" ca="1" si="65"/>
        <v>0.86325176421937855</v>
      </c>
      <c r="Q25" s="9">
        <f t="shared" ca="1" si="65"/>
        <v>0.32978091369641604</v>
      </c>
      <c r="R25" s="9">
        <f t="shared" ca="1" si="65"/>
        <v>0.98626189890950411</v>
      </c>
      <c r="S25" s="9">
        <f t="shared" ca="1" si="65"/>
        <v>0.93852808553994005</v>
      </c>
      <c r="T25" s="9">
        <f t="shared" ca="1" si="65"/>
        <v>-1</v>
      </c>
      <c r="U25" s="9">
        <f t="shared" ref="U25:AI25" ca="1" si="66">IF(OR(U$5="",U$5=0),-2,IF(U$6=$D26,-1,RAND()))</f>
        <v>4.8966626183202022E-2</v>
      </c>
      <c r="V25" s="9">
        <f t="shared" ca="1" si="66"/>
        <v>3.0953470562830931E-2</v>
      </c>
      <c r="W25" s="9">
        <f t="shared" ca="1" si="66"/>
        <v>0.60911284739931293</v>
      </c>
      <c r="X25" s="9">
        <f t="shared" ca="1" si="66"/>
        <v>0.67686842797020663</v>
      </c>
      <c r="Y25" s="9">
        <f t="shared" ca="1" si="66"/>
        <v>0.99486491184461034</v>
      </c>
      <c r="Z25" s="9">
        <f t="shared" ca="1" si="66"/>
        <v>0.6616647564623066</v>
      </c>
      <c r="AA25" s="9">
        <f t="shared" ca="1" si="66"/>
        <v>-1</v>
      </c>
      <c r="AB25" s="9">
        <f t="shared" ca="1" si="66"/>
        <v>0.26020867049940333</v>
      </c>
      <c r="AC25" s="9">
        <f t="shared" ca="1" si="66"/>
        <v>0.34606530080366171</v>
      </c>
      <c r="AD25" s="9">
        <f t="shared" ca="1" si="66"/>
        <v>8.8185737359300242E-2</v>
      </c>
      <c r="AE25" s="9">
        <f t="shared" ca="1" si="66"/>
        <v>0.85232239386549025</v>
      </c>
      <c r="AF25" s="9">
        <f t="shared" ca="1" si="66"/>
        <v>0.90693093739487585</v>
      </c>
      <c r="AG25" s="9">
        <f t="shared" ca="1" si="66"/>
        <v>0.98795370087879297</v>
      </c>
      <c r="AH25" s="9">
        <f t="shared" ca="1" si="66"/>
        <v>-1</v>
      </c>
      <c r="AI25" s="9">
        <f t="shared" ca="1" si="66"/>
        <v>0.43454465342719861</v>
      </c>
      <c r="AJ25" s="38"/>
      <c r="AK25" s="37"/>
      <c r="AL25" s="37"/>
      <c r="AM25" s="37"/>
      <c r="AN25" s="37"/>
      <c r="AO25" s="39" t="s">
        <v>22</v>
      </c>
    </row>
    <row r="26" spans="1:41" ht="15.6" thickBot="1" x14ac:dyDescent="0.35">
      <c r="A26" s="42"/>
      <c r="B26" s="44" t="s">
        <v>24</v>
      </c>
      <c r="C26" s="43" t="s">
        <v>46</v>
      </c>
      <c r="D26" s="37" t="s">
        <v>68</v>
      </c>
      <c r="E26" s="9" t="str">
        <f t="shared" ref="E26" ca="1" si="67">IF(OR(E$5="",E$5=0),"",IF(E$6=$D26,"W",IF(_xlfn.RANK.EQ(E25,$E25:$AI25,0)&lt;=INT($AO26),"P",IF(AND(_xlfn.RANK.EQ(E25,$E25:$AI25,0)=INT($AO26)+1,MOD($AO26,1)=0.5),"H","A"))))</f>
        <v>P</v>
      </c>
      <c r="F26" s="9" t="str">
        <f t="shared" ref="F26" si="68">IF(OR(F$5="",F$5=0),"",IF(F$6=$D26,"W",IF(_xlfn.RANK.EQ(F25,$E25:$AI25,0)&lt;=INT($AO26),"P",IF(AND(_xlfn.RANK.EQ(F25,$E25:$AI25,0)=INT($AO26)+1,MOD($AO26,1)=0.5),"H","A"))))</f>
        <v>W</v>
      </c>
      <c r="G26" s="9" t="str">
        <f t="shared" ref="G26" ca="1" si="69">IF(OR(G$5="",G$5=0),"",IF(G$6=$D26,"W",IF(_xlfn.RANK.EQ(G25,$E25:$AI25,0)&lt;=INT($AO26),"P",IF(AND(_xlfn.RANK.EQ(G25,$E25:$AI25,0)=INT($AO26)+1,MOD($AO26,1)=0.5),"H","A"))))</f>
        <v>P</v>
      </c>
      <c r="H26" s="9" t="str">
        <f t="shared" ref="H26" ca="1" si="70">IF(OR(H$5="",H$5=0),"",IF(H$6=$D26,"W",IF(_xlfn.RANK.EQ(H25,$E25:$AI25,0)&lt;=INT($AO26),"P",IF(AND(_xlfn.RANK.EQ(H25,$E25:$AI25,0)=INT($AO26)+1,MOD($AO26,1)=0.5),"H","A"))))</f>
        <v>P</v>
      </c>
      <c r="I26" s="9" t="str">
        <f t="shared" ref="I26" ca="1" si="71">IF(OR(I$5="",I$5=0),"",IF(I$6=$D26,"W",IF(_xlfn.RANK.EQ(I25,$E25:$AI25,0)&lt;=INT($AO26),"P",IF(AND(_xlfn.RANK.EQ(I25,$E25:$AI25,0)=INT($AO26)+1,MOD($AO26,1)=0.5),"H","A"))))</f>
        <v>P</v>
      </c>
      <c r="J26" s="9" t="str">
        <f t="shared" ref="J26" ca="1" si="72">IF(OR(J$5="",J$5=0),"",IF(J$6=$D26,"W",IF(_xlfn.RANK.EQ(J25,$E25:$AI25,0)&lt;=INT($AO26),"P",IF(AND(_xlfn.RANK.EQ(J25,$E25:$AI25,0)=INT($AO26)+1,MOD($AO26,1)=0.5),"H","A"))))</f>
        <v>P</v>
      </c>
      <c r="K26" s="9" t="str">
        <f t="shared" ref="K26" ca="1" si="73">IF(OR(K$5="",K$5=0),"",IF(K$6=$D26,"W",IF(_xlfn.RANK.EQ(K25,$E25:$AI25,0)&lt;=INT($AO26),"P",IF(AND(_xlfn.RANK.EQ(K25,$E25:$AI25,0)=INT($AO26)+1,MOD($AO26,1)=0.5),"H","A"))))</f>
        <v>P</v>
      </c>
      <c r="L26" s="9" t="str">
        <f t="shared" ref="L26" ca="1" si="74">IF(OR(L$5="",L$5=0),"",IF(L$6=$D26,"W",IF(_xlfn.RANK.EQ(L25,$E25:$AI25,0)&lt;=INT($AO26),"P",IF(AND(_xlfn.RANK.EQ(L25,$E25:$AI25,0)=INT($AO26)+1,MOD($AO26,1)=0.5),"H","A"))))</f>
        <v>P</v>
      </c>
      <c r="M26" s="9" t="str">
        <f t="shared" ref="M26" si="75">IF(OR(M$5="",M$5=0),"",IF(M$6=$D26,"W",IF(_xlfn.RANK.EQ(M25,$E25:$AI25,0)&lt;=INT($AO26),"P",IF(AND(_xlfn.RANK.EQ(M25,$E25:$AI25,0)=INT($AO26)+1,MOD($AO26,1)=0.5),"H","A"))))</f>
        <v>W</v>
      </c>
      <c r="N26" s="9" t="str">
        <f t="shared" ref="N26" ca="1" si="76">IF(OR(N$5="",N$5=0),"",IF(N$6=$D26,"W",IF(_xlfn.RANK.EQ(N25,$E25:$AI25,0)&lt;=INT($AO26),"P",IF(AND(_xlfn.RANK.EQ(N25,$E25:$AI25,0)=INT($AO26)+1,MOD($AO26,1)=0.5),"H","A"))))</f>
        <v>P</v>
      </c>
      <c r="O26" s="9" t="str">
        <f t="shared" ref="O26" ca="1" si="77">IF(OR(O$5="",O$5=0),"",IF(O$6=$D26,"W",IF(_xlfn.RANK.EQ(O25,$E25:$AI25,0)&lt;=INT($AO26),"P",IF(AND(_xlfn.RANK.EQ(O25,$E25:$AI25,0)=INT($AO26)+1,MOD($AO26,1)=0.5),"H","A"))))</f>
        <v>P</v>
      </c>
      <c r="P26" s="9" t="str">
        <f t="shared" ref="P26" ca="1" si="78">IF(OR(P$5="",P$5=0),"",IF(P$6=$D26,"W",IF(_xlfn.RANK.EQ(P25,$E25:$AI25,0)&lt;=INT($AO26),"P",IF(AND(_xlfn.RANK.EQ(P25,$E25:$AI25,0)=INT($AO26)+1,MOD($AO26,1)=0.5),"H","A"))))</f>
        <v>P</v>
      </c>
      <c r="Q26" s="9" t="str">
        <f t="shared" ref="Q26" ca="1" si="79">IF(OR(Q$5="",Q$5=0),"",IF(Q$6=$D26,"W",IF(_xlfn.RANK.EQ(Q25,$E25:$AI25,0)&lt;=INT($AO26),"P",IF(AND(_xlfn.RANK.EQ(Q25,$E25:$AI25,0)=INT($AO26)+1,MOD($AO26,1)=0.5),"H","A"))))</f>
        <v>P</v>
      </c>
      <c r="R26" s="9" t="str">
        <f t="shared" ref="R26" ca="1" si="80">IF(OR(R$5="",R$5=0),"",IF(R$6=$D26,"W",IF(_xlfn.RANK.EQ(R25,$E25:$AI25,0)&lt;=INT($AO26),"P",IF(AND(_xlfn.RANK.EQ(R25,$E25:$AI25,0)=INT($AO26)+1,MOD($AO26,1)=0.5),"H","A"))))</f>
        <v>P</v>
      </c>
      <c r="S26" s="9" t="str">
        <f t="shared" ref="S26" ca="1" si="81">IF(OR(S$5="",S$5=0),"",IF(S$6=$D26,"W",IF(_xlfn.RANK.EQ(S25,$E25:$AI25,0)&lt;=INT($AO26),"P",IF(AND(_xlfn.RANK.EQ(S25,$E25:$AI25,0)=INT($AO26)+1,MOD($AO26,1)=0.5),"H","A"))))</f>
        <v>P</v>
      </c>
      <c r="T26" s="9" t="str">
        <f t="shared" ref="T26" si="82">IF(OR(T$5="",T$5=0),"",IF(T$6=$D26,"W",IF(_xlfn.RANK.EQ(T25,$E25:$AI25,0)&lt;=INT($AO26),"P",IF(AND(_xlfn.RANK.EQ(T25,$E25:$AI25,0)=INT($AO26)+1,MOD($AO26,1)=0.5),"H","A"))))</f>
        <v>W</v>
      </c>
      <c r="U26" s="9" t="str">
        <f t="shared" ref="U26" ca="1" si="83">IF(OR(U$5="",U$5=0),"",IF(U$6=$D26,"W",IF(_xlfn.RANK.EQ(U25,$E25:$AI25,0)&lt;=INT($AO26),"P",IF(AND(_xlfn.RANK.EQ(U25,$E25:$AI25,0)=INT($AO26)+1,MOD($AO26,1)=0.5),"H","A"))))</f>
        <v>P</v>
      </c>
      <c r="V26" s="9" t="str">
        <f t="shared" ref="V26" ca="1" si="84">IF(OR(V$5="",V$5=0),"",IF(V$6=$D26,"W",IF(_xlfn.RANK.EQ(V25,$E25:$AI25,0)&lt;=INT($AO26),"P",IF(AND(_xlfn.RANK.EQ(V25,$E25:$AI25,0)=INT($AO26)+1,MOD($AO26,1)=0.5),"H","A"))))</f>
        <v>P</v>
      </c>
      <c r="W26" s="9" t="str">
        <f t="shared" ref="W26" ca="1" si="85">IF(OR(W$5="",W$5=0),"",IF(W$6=$D26,"W",IF(_xlfn.RANK.EQ(W25,$E25:$AI25,0)&lt;=INT($AO26),"P",IF(AND(_xlfn.RANK.EQ(W25,$E25:$AI25,0)=INT($AO26)+1,MOD($AO26,1)=0.5),"H","A"))))</f>
        <v>P</v>
      </c>
      <c r="X26" s="9" t="str">
        <f t="shared" ref="X26" ca="1" si="86">IF(OR(X$5="",X$5=0),"",IF(X$6=$D26,"W",IF(_xlfn.RANK.EQ(X25,$E25:$AI25,0)&lt;=INT($AO26),"P",IF(AND(_xlfn.RANK.EQ(X25,$E25:$AI25,0)=INT($AO26)+1,MOD($AO26,1)=0.5),"H","A"))))</f>
        <v>P</v>
      </c>
      <c r="Y26" s="9" t="str">
        <f t="shared" ref="Y26" ca="1" si="87">IF(OR(Y$5="",Y$5=0),"",IF(Y$6=$D26,"W",IF(_xlfn.RANK.EQ(Y25,$E25:$AI25,0)&lt;=INT($AO26),"P",IF(AND(_xlfn.RANK.EQ(Y25,$E25:$AI25,0)=INT($AO26)+1,MOD($AO26,1)=0.5),"H","A"))))</f>
        <v>P</v>
      </c>
      <c r="Z26" s="9" t="str">
        <f t="shared" ref="Z26" ca="1" si="88">IF(OR(Z$5="",Z$5=0),"",IF(Z$6=$D26,"W",IF(_xlfn.RANK.EQ(Z25,$E25:$AI25,0)&lt;=INT($AO26),"P",IF(AND(_xlfn.RANK.EQ(Z25,$E25:$AI25,0)=INT($AO26)+1,MOD($AO26,1)=0.5),"H","A"))))</f>
        <v>P</v>
      </c>
      <c r="AA26" s="9" t="str">
        <f t="shared" ref="AA26" si="89">IF(OR(AA$5="",AA$5=0),"",IF(AA$6=$D26,"W",IF(_xlfn.RANK.EQ(AA25,$E25:$AI25,0)&lt;=INT($AO26),"P",IF(AND(_xlfn.RANK.EQ(AA25,$E25:$AI25,0)=INT($AO26)+1,MOD($AO26,1)=0.5),"H","A"))))</f>
        <v>W</v>
      </c>
      <c r="AB26" s="9" t="str">
        <f t="shared" ref="AB26" ca="1" si="90">IF(OR(AB$5="",AB$5=0),"",IF(AB$6=$D26,"W",IF(_xlfn.RANK.EQ(AB25,$E25:$AI25,0)&lt;=INT($AO26),"P",IF(AND(_xlfn.RANK.EQ(AB25,$E25:$AI25,0)=INT($AO26)+1,MOD($AO26,1)=0.5),"H","A"))))</f>
        <v>P</v>
      </c>
      <c r="AC26" s="9" t="str">
        <f t="shared" ref="AC26" ca="1" si="91">IF(OR(AC$5="",AC$5=0),"",IF(AC$6=$D26,"W",IF(_xlfn.RANK.EQ(AC25,$E25:$AI25,0)&lt;=INT($AO26),"P",IF(AND(_xlfn.RANK.EQ(AC25,$E25:$AI25,0)=INT($AO26)+1,MOD($AO26,1)=0.5),"H","A"))))</f>
        <v>P</v>
      </c>
      <c r="AD26" s="9" t="str">
        <f t="shared" ref="AD26" ca="1" si="92">IF(OR(AD$5="",AD$5=0),"",IF(AD$6=$D26,"W",IF(_xlfn.RANK.EQ(AD25,$E25:$AI25,0)&lt;=INT($AO26),"P",IF(AND(_xlfn.RANK.EQ(AD25,$E25:$AI25,0)=INT($AO26)+1,MOD($AO26,1)=0.5),"H","A"))))</f>
        <v>P</v>
      </c>
      <c r="AE26" s="9" t="str">
        <f t="shared" ref="AE26" ca="1" si="93">IF(OR(AE$5="",AE$5=0),"",IF(AE$6=$D26,"W",IF(_xlfn.RANK.EQ(AE25,$E25:$AI25,0)&lt;=INT($AO26),"P",IF(AND(_xlfn.RANK.EQ(AE25,$E25:$AI25,0)=INT($AO26)+1,MOD($AO26,1)=0.5),"H","A"))))</f>
        <v>P</v>
      </c>
      <c r="AF26" s="9" t="str">
        <f t="shared" ref="AF26" ca="1" si="94">IF(OR(AF$5="",AF$5=0),"",IF(AF$6=$D26,"W",IF(_xlfn.RANK.EQ(AF25,$E25:$AI25,0)&lt;=INT($AO26),"P",IF(AND(_xlfn.RANK.EQ(AF25,$E25:$AI25,0)=INT($AO26)+1,MOD($AO26,1)=0.5),"H","A"))))</f>
        <v>P</v>
      </c>
      <c r="AG26" s="9" t="str">
        <f t="shared" ref="AG26" ca="1" si="95">IF(OR(AG$5="",AG$5=0),"",IF(AG$6=$D26,"W",IF(_xlfn.RANK.EQ(AG25,$E25:$AI25,0)&lt;=INT($AO26),"P",IF(AND(_xlfn.RANK.EQ(AG25,$E25:$AI25,0)=INT($AO26)+1,MOD($AO26,1)=0.5),"H","A"))))</f>
        <v>P</v>
      </c>
      <c r="AH26" s="9" t="str">
        <f t="shared" ref="AH26" si="96">IF(OR(AH$5="",AH$5=0),"",IF(AH$6=$D26,"W",IF(_xlfn.RANK.EQ(AH25,$E25:$AI25,0)&lt;=INT($AO26),"P",IF(AND(_xlfn.RANK.EQ(AH25,$E25:$AI25,0)=INT($AO26)+1,MOD($AO26,1)=0.5),"H","A"))))</f>
        <v>W</v>
      </c>
      <c r="AI26" s="9" t="str">
        <f t="shared" ref="AI26" ca="1" si="97">IF(OR(AI$5="",AI$5=0),"",IF(AI$6=$D26,"W",IF(_xlfn.RANK.EQ(AI25,$E25:$AI25,0)&lt;=INT($AO26),"P",IF(AND(_xlfn.RANK.EQ(AI25,$E25:$AI25,0)=INT($AO26)+1,MOD($AO26,1)=0.5),"H","A"))))</f>
        <v>P</v>
      </c>
      <c r="AJ26" s="16">
        <f t="shared" ref="AJ26" ca="1" si="98">COUNTIF(E26:AI26, "P")</f>
        <v>26</v>
      </c>
      <c r="AK26" s="17">
        <f t="shared" ref="AK26" ca="1" si="99">COUNTIF(E26:AH26, "A")</f>
        <v>0</v>
      </c>
      <c r="AL26" s="17">
        <f t="shared" ref="AL26" ca="1" si="100">COUNTIF(E26:AH26, "W")</f>
        <v>5</v>
      </c>
      <c r="AM26" s="17">
        <f t="shared" ref="AM26" ca="1" si="101">COUNTIF(E26:AH26, "H")</f>
        <v>0</v>
      </c>
      <c r="AN26" s="17">
        <f t="shared" ref="AN26" ca="1" si="102">COUNTIF(E26:AH26, "PL")</f>
        <v>0</v>
      </c>
      <c r="AO26" s="18">
        <v>26</v>
      </c>
    </row>
    <row r="27" spans="1:41" ht="15" x14ac:dyDescent="0.3">
      <c r="A27" s="19"/>
      <c r="B27" s="1" t="s">
        <v>22</v>
      </c>
      <c r="C27" s="48" t="s">
        <v>22</v>
      </c>
      <c r="D27" s="45" t="s">
        <v>1</v>
      </c>
      <c r="E27" s="20" t="str">
        <f t="shared" ref="E27:AH27" ca="1" si="103">IF(E26="P", IF($D25="G", TEXT(RAND()*(9.27-9.62)/24+9.62/24,"HH:MM"), IF($D25="A", TEXT(RAND()*(8.06-8.1)/24+8.15/24,"HH:MM"), IF($D25="B", TEXT(RAND()*(16.06-16.1)/24+16.15/24,"HH:MM"), IF($D25="C", TEXT(RAND()*(24.85-24.13)/24+24.13/24,"HH:MM"), " ")))), "")</f>
        <v>08:08</v>
      </c>
      <c r="F27" s="20" t="str">
        <f t="shared" ca="1" si="103"/>
        <v/>
      </c>
      <c r="G27" s="20" t="str">
        <f t="shared" ca="1" si="103"/>
        <v>08:07</v>
      </c>
      <c r="H27" s="20" t="str">
        <f t="shared" ca="1" si="103"/>
        <v>08:07</v>
      </c>
      <c r="I27" s="20" t="str">
        <f t="shared" ca="1" si="103"/>
        <v>08:08</v>
      </c>
      <c r="J27" s="20" t="str">
        <f t="shared" ca="1" si="103"/>
        <v>08:07</v>
      </c>
      <c r="K27" s="20" t="str">
        <f t="shared" ca="1" si="103"/>
        <v>08:08</v>
      </c>
      <c r="L27" s="20" t="str">
        <f t="shared" ca="1" si="103"/>
        <v>08:07</v>
      </c>
      <c r="M27" s="20" t="str">
        <f t="shared" ca="1" si="103"/>
        <v/>
      </c>
      <c r="N27" s="20" t="str">
        <f t="shared" ca="1" si="103"/>
        <v>08:06</v>
      </c>
      <c r="O27" s="20" t="str">
        <f t="shared" ca="1" si="103"/>
        <v>08:08</v>
      </c>
      <c r="P27" s="20" t="str">
        <f t="shared" ca="1" si="103"/>
        <v>08:07</v>
      </c>
      <c r="Q27" s="20" t="str">
        <f t="shared" ca="1" si="103"/>
        <v>08:07</v>
      </c>
      <c r="R27" s="20" t="str">
        <f t="shared" ca="1" si="103"/>
        <v>08:07</v>
      </c>
      <c r="S27" s="20" t="str">
        <f t="shared" ca="1" si="103"/>
        <v>08:08</v>
      </c>
      <c r="T27" s="20" t="str">
        <f t="shared" ca="1" si="103"/>
        <v/>
      </c>
      <c r="U27" s="20" t="str">
        <f t="shared" ca="1" si="103"/>
        <v>08:07</v>
      </c>
      <c r="V27" s="20" t="str">
        <f t="shared" ca="1" si="103"/>
        <v>08:08</v>
      </c>
      <c r="W27" s="20" t="str">
        <f t="shared" ca="1" si="103"/>
        <v>08:09</v>
      </c>
      <c r="X27" s="20" t="str">
        <f t="shared" ca="1" si="103"/>
        <v>08:08</v>
      </c>
      <c r="Y27" s="20" t="str">
        <f t="shared" ca="1" si="103"/>
        <v>08:07</v>
      </c>
      <c r="Z27" s="20" t="str">
        <f t="shared" ca="1" si="103"/>
        <v>08:07</v>
      </c>
      <c r="AA27" s="20" t="str">
        <f t="shared" ca="1" si="103"/>
        <v/>
      </c>
      <c r="AB27" s="20" t="str">
        <f t="shared" ca="1" si="103"/>
        <v>08:08</v>
      </c>
      <c r="AC27" s="20" t="str">
        <f t="shared" ca="1" si="103"/>
        <v>08:07</v>
      </c>
      <c r="AD27" s="20" t="str">
        <f t="shared" ca="1" si="103"/>
        <v>08:07</v>
      </c>
      <c r="AE27" s="20" t="str">
        <f t="shared" ca="1" si="103"/>
        <v>08:07</v>
      </c>
      <c r="AF27" s="20" t="str">
        <f t="shared" ca="1" si="103"/>
        <v>08:07</v>
      </c>
      <c r="AG27" s="20" t="str">
        <f t="shared" ca="1" si="103"/>
        <v>08:08</v>
      </c>
      <c r="AH27" s="20" t="str">
        <f t="shared" ca="1" si="103"/>
        <v/>
      </c>
      <c r="AI27" s="20" t="str">
        <f t="shared" ca="1" si="56"/>
        <v>08:07</v>
      </c>
      <c r="AJ27" s="21"/>
      <c r="AK27" s="22"/>
      <c r="AL27" s="22"/>
      <c r="AM27" s="22"/>
      <c r="AN27" s="22"/>
      <c r="AO27" s="23" t="s">
        <v>22</v>
      </c>
    </row>
    <row r="28" spans="1:41" ht="15" x14ac:dyDescent="0.3">
      <c r="A28" s="19"/>
      <c r="B28" s="1" t="s">
        <v>22</v>
      </c>
      <c r="C28" s="48" t="s">
        <v>22</v>
      </c>
      <c r="D28" s="45" t="s">
        <v>2</v>
      </c>
      <c r="E28" s="20" t="str">
        <f t="shared" ref="E28:AH28" ca="1" si="104">IF(E26="P", IF($D25="G", TEXT(RAND()*(18.85-18.13)/24+18.13/24,"HH:MM"), IF($D25="A", TEXT(RAND()*(16.85-16.13)/24+16.13/24,"HH:MM"), IF($D25="B", TEXT(RAND()*(24.85-24.13)/24+24.13/24,"HH:MM"), IF($D25="C", TEXT(RAND()*(8.85-8.13)/24+8.13/24,"HH:MM"), " ")))), "")</f>
        <v>16:50</v>
      </c>
      <c r="F28" s="20" t="str">
        <f t="shared" ca="1" si="104"/>
        <v/>
      </c>
      <c r="G28" s="20" t="str">
        <f t="shared" ca="1" si="104"/>
        <v>16:28</v>
      </c>
      <c r="H28" s="20" t="str">
        <f t="shared" ca="1" si="104"/>
        <v>16:32</v>
      </c>
      <c r="I28" s="20" t="str">
        <f t="shared" ca="1" si="104"/>
        <v>16:26</v>
      </c>
      <c r="J28" s="20" t="str">
        <f t="shared" ca="1" si="104"/>
        <v>16:39</v>
      </c>
      <c r="K28" s="20" t="str">
        <f t="shared" ca="1" si="104"/>
        <v>16:44</v>
      </c>
      <c r="L28" s="20" t="str">
        <f t="shared" ca="1" si="104"/>
        <v>16:45</v>
      </c>
      <c r="M28" s="20" t="str">
        <f t="shared" ca="1" si="104"/>
        <v/>
      </c>
      <c r="N28" s="20" t="str">
        <f t="shared" ca="1" si="104"/>
        <v>16:36</v>
      </c>
      <c r="O28" s="20" t="str">
        <f t="shared" ca="1" si="104"/>
        <v>16:34</v>
      </c>
      <c r="P28" s="20" t="str">
        <f t="shared" ca="1" si="104"/>
        <v>16:27</v>
      </c>
      <c r="Q28" s="20" t="str">
        <f t="shared" ca="1" si="104"/>
        <v>16:44</v>
      </c>
      <c r="R28" s="20" t="str">
        <f t="shared" ca="1" si="104"/>
        <v>16:39</v>
      </c>
      <c r="S28" s="20" t="str">
        <f t="shared" ca="1" si="104"/>
        <v>16:44</v>
      </c>
      <c r="T28" s="20" t="str">
        <f t="shared" ca="1" si="104"/>
        <v/>
      </c>
      <c r="U28" s="20" t="str">
        <f t="shared" ca="1" si="104"/>
        <v>16:16</v>
      </c>
      <c r="V28" s="20" t="str">
        <f t="shared" ca="1" si="104"/>
        <v>16:08</v>
      </c>
      <c r="W28" s="20" t="str">
        <f t="shared" ca="1" si="104"/>
        <v>16:27</v>
      </c>
      <c r="X28" s="20" t="str">
        <f t="shared" ca="1" si="104"/>
        <v>16:32</v>
      </c>
      <c r="Y28" s="20" t="str">
        <f t="shared" ca="1" si="104"/>
        <v>16:33</v>
      </c>
      <c r="Z28" s="20" t="str">
        <f t="shared" ca="1" si="104"/>
        <v>16:26</v>
      </c>
      <c r="AA28" s="20" t="str">
        <f t="shared" ca="1" si="104"/>
        <v/>
      </c>
      <c r="AB28" s="20" t="str">
        <f t="shared" ca="1" si="104"/>
        <v>16:40</v>
      </c>
      <c r="AC28" s="20" t="str">
        <f t="shared" ca="1" si="104"/>
        <v>16:27</v>
      </c>
      <c r="AD28" s="20" t="str">
        <f t="shared" ca="1" si="104"/>
        <v>16:43</v>
      </c>
      <c r="AE28" s="20" t="str">
        <f t="shared" ca="1" si="104"/>
        <v>16:47</v>
      </c>
      <c r="AF28" s="20" t="str">
        <f t="shared" ca="1" si="104"/>
        <v>16:19</v>
      </c>
      <c r="AG28" s="20" t="str">
        <f t="shared" ca="1" si="104"/>
        <v>16:23</v>
      </c>
      <c r="AH28" s="20" t="str">
        <f t="shared" ca="1" si="104"/>
        <v/>
      </c>
      <c r="AI28" s="20" t="str">
        <f t="shared" ca="1" si="57"/>
        <v>16:34</v>
      </c>
      <c r="AJ28" s="24" t="s">
        <v>13</v>
      </c>
      <c r="AK28" s="25"/>
      <c r="AL28" s="25"/>
      <c r="AM28" s="25"/>
      <c r="AN28" s="25"/>
      <c r="AO28" s="23" t="s">
        <v>22</v>
      </c>
    </row>
    <row r="29" spans="1:41" ht="15" x14ac:dyDescent="0.3">
      <c r="A29" s="26"/>
      <c r="B29" s="1" t="s">
        <v>22</v>
      </c>
      <c r="C29" s="48" t="s">
        <v>22</v>
      </c>
      <c r="D29" s="45" t="s">
        <v>14</v>
      </c>
      <c r="E29" s="27">
        <f t="shared" ref="E29:AH29" ca="1" si="105">IF(E26="P", MOD(E28-E27, 1), " ")</f>
        <v>0.36249999999999993</v>
      </c>
      <c r="F29" s="27" t="str">
        <f t="shared" si="105"/>
        <v xml:space="preserve"> </v>
      </c>
      <c r="G29" s="27">
        <f t="shared" ca="1" si="105"/>
        <v>0.34791666666666665</v>
      </c>
      <c r="H29" s="27">
        <f t="shared" ca="1" si="105"/>
        <v>0.35069444444444442</v>
      </c>
      <c r="I29" s="27">
        <f t="shared" ca="1" si="105"/>
        <v>0.34583333333333333</v>
      </c>
      <c r="J29" s="27">
        <f t="shared" ca="1" si="105"/>
        <v>0.35555555555555551</v>
      </c>
      <c r="K29" s="27">
        <f t="shared" ca="1" si="105"/>
        <v>0.35833333333333328</v>
      </c>
      <c r="L29" s="27">
        <f t="shared" ca="1" si="105"/>
        <v>0.35972222222222217</v>
      </c>
      <c r="M29" s="27" t="str">
        <f t="shared" si="105"/>
        <v xml:space="preserve"> </v>
      </c>
      <c r="N29" s="27">
        <f t="shared" ca="1" si="105"/>
        <v>0.35416666666666663</v>
      </c>
      <c r="O29" s="27">
        <f t="shared" ca="1" si="105"/>
        <v>0.35138888888888886</v>
      </c>
      <c r="P29" s="27">
        <f t="shared" ca="1" si="105"/>
        <v>0.34722222222222221</v>
      </c>
      <c r="Q29" s="27">
        <f t="shared" ca="1" si="105"/>
        <v>0.35902777777777772</v>
      </c>
      <c r="R29" s="27">
        <f t="shared" ca="1" si="105"/>
        <v>0.35555555555555551</v>
      </c>
      <c r="S29" s="27">
        <f t="shared" ca="1" si="105"/>
        <v>0.35833333333333328</v>
      </c>
      <c r="T29" s="27" t="str">
        <f t="shared" si="105"/>
        <v xml:space="preserve"> </v>
      </c>
      <c r="U29" s="27">
        <f t="shared" ca="1" si="105"/>
        <v>0.33958333333333335</v>
      </c>
      <c r="V29" s="27">
        <f t="shared" ca="1" si="105"/>
        <v>0.33333333333333337</v>
      </c>
      <c r="W29" s="27">
        <f t="shared" ca="1" si="105"/>
        <v>0.34583333333333333</v>
      </c>
      <c r="X29" s="27">
        <f t="shared" ca="1" si="105"/>
        <v>0.35</v>
      </c>
      <c r="Y29" s="27">
        <f t="shared" ca="1" si="105"/>
        <v>0.35138888888888886</v>
      </c>
      <c r="Z29" s="27">
        <f t="shared" ca="1" si="105"/>
        <v>0.34652777777777777</v>
      </c>
      <c r="AA29" s="27" t="str">
        <f t="shared" si="105"/>
        <v xml:space="preserve"> </v>
      </c>
      <c r="AB29" s="27">
        <f t="shared" ca="1" si="105"/>
        <v>0.35555555555555551</v>
      </c>
      <c r="AC29" s="27">
        <f t="shared" ca="1" si="105"/>
        <v>0.34722222222222221</v>
      </c>
      <c r="AD29" s="27">
        <f t="shared" ca="1" si="105"/>
        <v>0.35833333333333328</v>
      </c>
      <c r="AE29" s="27">
        <f t="shared" ca="1" si="105"/>
        <v>0.36111111111111105</v>
      </c>
      <c r="AF29" s="27">
        <f t="shared" ca="1" si="105"/>
        <v>0.34166666666666667</v>
      </c>
      <c r="AG29" s="27">
        <f t="shared" ca="1" si="105"/>
        <v>0.34375</v>
      </c>
      <c r="AH29" s="27" t="str">
        <f t="shared" si="105"/>
        <v xml:space="preserve"> </v>
      </c>
      <c r="AI29" s="27">
        <f t="shared" ca="1" si="58"/>
        <v>0.3520833333333333</v>
      </c>
      <c r="AJ29" s="28">
        <f t="shared" ref="AJ29" ca="1" si="106">AJ26*8</f>
        <v>208</v>
      </c>
      <c r="AK29" s="29"/>
      <c r="AL29" s="29"/>
      <c r="AM29" s="29"/>
      <c r="AN29" s="29"/>
      <c r="AO29" s="23" t="s">
        <v>22</v>
      </c>
    </row>
    <row r="30" spans="1:41" ht="15" x14ac:dyDescent="0.3">
      <c r="A30" s="26"/>
      <c r="B30" s="1" t="s">
        <v>22</v>
      </c>
      <c r="C30" s="48" t="s">
        <v>22</v>
      </c>
      <c r="D30" s="45" t="s">
        <v>19</v>
      </c>
      <c r="E30" s="27" t="str">
        <f t="shared" ref="E30:AH30" ca="1" si="107">IF(E26="P","08:00"," ")</f>
        <v>08:00</v>
      </c>
      <c r="F30" s="27" t="str">
        <f t="shared" si="107"/>
        <v xml:space="preserve"> </v>
      </c>
      <c r="G30" s="27" t="str">
        <f t="shared" ca="1" si="107"/>
        <v>08:00</v>
      </c>
      <c r="H30" s="27" t="str">
        <f t="shared" ca="1" si="107"/>
        <v>08:00</v>
      </c>
      <c r="I30" s="27" t="str">
        <f t="shared" ca="1" si="107"/>
        <v>08:00</v>
      </c>
      <c r="J30" s="27" t="str">
        <f t="shared" ca="1" si="107"/>
        <v>08:00</v>
      </c>
      <c r="K30" s="27" t="str">
        <f t="shared" ca="1" si="107"/>
        <v>08:00</v>
      </c>
      <c r="L30" s="27" t="str">
        <f t="shared" ca="1" si="107"/>
        <v>08:00</v>
      </c>
      <c r="M30" s="27" t="str">
        <f t="shared" si="107"/>
        <v xml:space="preserve"> </v>
      </c>
      <c r="N30" s="27" t="str">
        <f t="shared" ca="1" si="107"/>
        <v>08:00</v>
      </c>
      <c r="O30" s="27" t="str">
        <f t="shared" ca="1" si="107"/>
        <v>08:00</v>
      </c>
      <c r="P30" s="27" t="str">
        <f t="shared" ca="1" si="107"/>
        <v>08:00</v>
      </c>
      <c r="Q30" s="27" t="str">
        <f t="shared" ca="1" si="107"/>
        <v>08:00</v>
      </c>
      <c r="R30" s="27" t="str">
        <f t="shared" ca="1" si="107"/>
        <v>08:00</v>
      </c>
      <c r="S30" s="27" t="str">
        <f t="shared" ca="1" si="107"/>
        <v>08:00</v>
      </c>
      <c r="T30" s="27" t="str">
        <f t="shared" si="107"/>
        <v xml:space="preserve"> </v>
      </c>
      <c r="U30" s="27" t="str">
        <f t="shared" ca="1" si="107"/>
        <v>08:00</v>
      </c>
      <c r="V30" s="27" t="str">
        <f t="shared" ca="1" si="107"/>
        <v>08:00</v>
      </c>
      <c r="W30" s="27" t="str">
        <f t="shared" ca="1" si="107"/>
        <v>08:00</v>
      </c>
      <c r="X30" s="27" t="str">
        <f t="shared" ca="1" si="107"/>
        <v>08:00</v>
      </c>
      <c r="Y30" s="27" t="str">
        <f t="shared" ca="1" si="107"/>
        <v>08:00</v>
      </c>
      <c r="Z30" s="27" t="str">
        <f t="shared" ca="1" si="107"/>
        <v>08:00</v>
      </c>
      <c r="AA30" s="27" t="str">
        <f t="shared" si="107"/>
        <v xml:space="preserve"> </v>
      </c>
      <c r="AB30" s="27" t="str">
        <f t="shared" ca="1" si="107"/>
        <v>08:00</v>
      </c>
      <c r="AC30" s="27" t="str">
        <f t="shared" ca="1" si="107"/>
        <v>08:00</v>
      </c>
      <c r="AD30" s="27" t="str">
        <f t="shared" ca="1" si="107"/>
        <v>08:00</v>
      </c>
      <c r="AE30" s="27" t="str">
        <f t="shared" ca="1" si="107"/>
        <v>08:00</v>
      </c>
      <c r="AF30" s="27" t="str">
        <f t="shared" ca="1" si="107"/>
        <v>08:00</v>
      </c>
      <c r="AG30" s="27" t="str">
        <f t="shared" ca="1" si="107"/>
        <v>08:00</v>
      </c>
      <c r="AH30" s="27" t="str">
        <f t="shared" si="107"/>
        <v xml:space="preserve"> </v>
      </c>
      <c r="AI30" s="27" t="str">
        <f t="shared" ca="1" si="60"/>
        <v>08:00</v>
      </c>
      <c r="AJ30" s="28"/>
      <c r="AK30" s="29"/>
      <c r="AL30" s="29"/>
      <c r="AM30" s="29"/>
      <c r="AN30" s="29"/>
      <c r="AO30" s="23" t="s">
        <v>22</v>
      </c>
    </row>
    <row r="31" spans="1:41" ht="15" x14ac:dyDescent="0.3">
      <c r="A31" s="26"/>
      <c r="B31" s="1" t="s">
        <v>22</v>
      </c>
      <c r="C31" s="48" t="s">
        <v>22</v>
      </c>
      <c r="D31" s="45" t="s">
        <v>12</v>
      </c>
      <c r="E31" s="27" t="str">
        <f t="shared" ref="E31:AH31" ca="1" si="108">IF(E26="P","01:00"," ")</f>
        <v>01:00</v>
      </c>
      <c r="F31" s="27" t="str">
        <f t="shared" si="108"/>
        <v xml:space="preserve"> </v>
      </c>
      <c r="G31" s="27" t="str">
        <f t="shared" ca="1" si="108"/>
        <v>01:00</v>
      </c>
      <c r="H31" s="27" t="str">
        <f t="shared" ca="1" si="108"/>
        <v>01:00</v>
      </c>
      <c r="I31" s="27" t="str">
        <f t="shared" ca="1" si="108"/>
        <v>01:00</v>
      </c>
      <c r="J31" s="27" t="str">
        <f t="shared" ca="1" si="108"/>
        <v>01:00</v>
      </c>
      <c r="K31" s="27" t="str">
        <f t="shared" ca="1" si="108"/>
        <v>01:00</v>
      </c>
      <c r="L31" s="27" t="str">
        <f t="shared" ca="1" si="108"/>
        <v>01:00</v>
      </c>
      <c r="M31" s="27" t="str">
        <f t="shared" si="108"/>
        <v xml:space="preserve"> </v>
      </c>
      <c r="N31" s="27" t="str">
        <f t="shared" ca="1" si="108"/>
        <v>01:00</v>
      </c>
      <c r="O31" s="27" t="str">
        <f t="shared" ca="1" si="108"/>
        <v>01:00</v>
      </c>
      <c r="P31" s="27" t="str">
        <f t="shared" ca="1" si="108"/>
        <v>01:00</v>
      </c>
      <c r="Q31" s="27" t="str">
        <f t="shared" ca="1" si="108"/>
        <v>01:00</v>
      </c>
      <c r="R31" s="27" t="str">
        <f t="shared" ca="1" si="108"/>
        <v>01:00</v>
      </c>
      <c r="S31" s="27" t="str">
        <f t="shared" ca="1" si="108"/>
        <v>01:00</v>
      </c>
      <c r="T31" s="27" t="str">
        <f t="shared" si="108"/>
        <v xml:space="preserve"> </v>
      </c>
      <c r="U31" s="27" t="str">
        <f t="shared" ca="1" si="108"/>
        <v>01:00</v>
      </c>
      <c r="V31" s="27" t="str">
        <f t="shared" ca="1" si="108"/>
        <v>01:00</v>
      </c>
      <c r="W31" s="27" t="str">
        <f t="shared" ca="1" si="108"/>
        <v>01:00</v>
      </c>
      <c r="X31" s="27" t="str">
        <f t="shared" ca="1" si="108"/>
        <v>01:00</v>
      </c>
      <c r="Y31" s="27" t="str">
        <f t="shared" ca="1" si="108"/>
        <v>01:00</v>
      </c>
      <c r="Z31" s="27" t="str">
        <f t="shared" ca="1" si="108"/>
        <v>01:00</v>
      </c>
      <c r="AA31" s="27" t="str">
        <f t="shared" si="108"/>
        <v xml:space="preserve"> </v>
      </c>
      <c r="AB31" s="27" t="str">
        <f t="shared" ca="1" si="108"/>
        <v>01:00</v>
      </c>
      <c r="AC31" s="27" t="str">
        <f t="shared" ca="1" si="108"/>
        <v>01:00</v>
      </c>
      <c r="AD31" s="27" t="str">
        <f t="shared" ca="1" si="108"/>
        <v>01:00</v>
      </c>
      <c r="AE31" s="27" t="str">
        <f t="shared" ca="1" si="108"/>
        <v>01:00</v>
      </c>
      <c r="AF31" s="27" t="str">
        <f t="shared" ca="1" si="108"/>
        <v>01:00</v>
      </c>
      <c r="AG31" s="27" t="str">
        <f t="shared" ca="1" si="108"/>
        <v>01:00</v>
      </c>
      <c r="AH31" s="27" t="str">
        <f t="shared" si="108"/>
        <v xml:space="preserve"> </v>
      </c>
      <c r="AI31" s="27" t="str">
        <f t="shared" ca="1" si="61"/>
        <v>01:00</v>
      </c>
      <c r="AJ31" s="24" t="s">
        <v>11</v>
      </c>
      <c r="AK31" s="25"/>
      <c r="AL31" s="25"/>
      <c r="AM31" s="25"/>
      <c r="AN31" s="25"/>
      <c r="AO31" s="23" t="s">
        <v>22</v>
      </c>
    </row>
    <row r="32" spans="1:41" ht="15" x14ac:dyDescent="0.3">
      <c r="A32" s="26"/>
      <c r="B32" s="1" t="s">
        <v>22</v>
      </c>
      <c r="C32" s="48" t="s">
        <v>22</v>
      </c>
      <c r="D32" s="45" t="s">
        <v>11</v>
      </c>
      <c r="E32" s="27">
        <f t="shared" ref="E32:AH32" ca="1" si="109">IF(E26="P",E29-E31," ")</f>
        <v>0.32083333333333325</v>
      </c>
      <c r="F32" s="27" t="str">
        <f t="shared" si="109"/>
        <v xml:space="preserve"> </v>
      </c>
      <c r="G32" s="27">
        <f t="shared" ca="1" si="109"/>
        <v>0.30624999999999997</v>
      </c>
      <c r="H32" s="27">
        <f t="shared" ca="1" si="109"/>
        <v>0.30902777777777773</v>
      </c>
      <c r="I32" s="27">
        <f t="shared" ca="1" si="109"/>
        <v>0.30416666666666664</v>
      </c>
      <c r="J32" s="27">
        <f t="shared" ca="1" si="109"/>
        <v>0.31388888888888883</v>
      </c>
      <c r="K32" s="27">
        <f t="shared" ca="1" si="109"/>
        <v>0.3166666666666666</v>
      </c>
      <c r="L32" s="27">
        <f t="shared" ca="1" si="109"/>
        <v>0.31805555555555548</v>
      </c>
      <c r="M32" s="27" t="str">
        <f t="shared" si="109"/>
        <v xml:space="preserve"> </v>
      </c>
      <c r="N32" s="27">
        <f t="shared" ca="1" si="109"/>
        <v>0.31249999999999994</v>
      </c>
      <c r="O32" s="27">
        <f t="shared" ca="1" si="109"/>
        <v>0.30972222222222218</v>
      </c>
      <c r="P32" s="27">
        <f t="shared" ca="1" si="109"/>
        <v>0.30555555555555552</v>
      </c>
      <c r="Q32" s="27">
        <f t="shared" ca="1" si="109"/>
        <v>0.31736111111111104</v>
      </c>
      <c r="R32" s="27">
        <f t="shared" ca="1" si="109"/>
        <v>0.31388888888888883</v>
      </c>
      <c r="S32" s="27">
        <f t="shared" ca="1" si="109"/>
        <v>0.3166666666666666</v>
      </c>
      <c r="T32" s="27" t="str">
        <f t="shared" si="109"/>
        <v xml:space="preserve"> </v>
      </c>
      <c r="U32" s="27">
        <f t="shared" ca="1" si="109"/>
        <v>0.29791666666666666</v>
      </c>
      <c r="V32" s="27">
        <f t="shared" ca="1" si="109"/>
        <v>0.29166666666666669</v>
      </c>
      <c r="W32" s="27">
        <f t="shared" ca="1" si="109"/>
        <v>0.30416666666666664</v>
      </c>
      <c r="X32" s="27">
        <f t="shared" ca="1" si="109"/>
        <v>0.30833333333333329</v>
      </c>
      <c r="Y32" s="27">
        <f t="shared" ca="1" si="109"/>
        <v>0.30972222222222218</v>
      </c>
      <c r="Z32" s="27">
        <f t="shared" ca="1" si="109"/>
        <v>0.30486111111111108</v>
      </c>
      <c r="AA32" s="27" t="str">
        <f t="shared" si="109"/>
        <v xml:space="preserve"> </v>
      </c>
      <c r="AB32" s="27">
        <f t="shared" ca="1" si="109"/>
        <v>0.31388888888888883</v>
      </c>
      <c r="AC32" s="27">
        <f t="shared" ca="1" si="109"/>
        <v>0.30555555555555552</v>
      </c>
      <c r="AD32" s="27">
        <f t="shared" ca="1" si="109"/>
        <v>0.3166666666666666</v>
      </c>
      <c r="AE32" s="27">
        <f t="shared" ca="1" si="109"/>
        <v>0.31944444444444436</v>
      </c>
      <c r="AF32" s="27">
        <f t="shared" ca="1" si="109"/>
        <v>0.3</v>
      </c>
      <c r="AG32" s="27">
        <f t="shared" ca="1" si="109"/>
        <v>0.30208333333333331</v>
      </c>
      <c r="AH32" s="27" t="str">
        <f t="shared" si="109"/>
        <v xml:space="preserve"> </v>
      </c>
      <c r="AI32" s="27">
        <f t="shared" ca="1" si="62"/>
        <v>0.31041666666666662</v>
      </c>
      <c r="AJ32" s="30">
        <f t="shared" ref="AJ32:AJ33" ca="1" si="110">SUM(E32:AH32)</f>
        <v>7.7388888888888872</v>
      </c>
      <c r="AK32" s="25"/>
      <c r="AL32" s="25"/>
      <c r="AM32" s="25"/>
      <c r="AN32" s="25"/>
      <c r="AO32" s="23" t="s">
        <v>22</v>
      </c>
    </row>
    <row r="33" spans="1:41" ht="15.6" thickBot="1" x14ac:dyDescent="0.35">
      <c r="A33" s="31"/>
      <c r="B33" s="32" t="s">
        <v>22</v>
      </c>
      <c r="C33" s="49" t="s">
        <v>22</v>
      </c>
      <c r="D33" s="46" t="s">
        <v>20</v>
      </c>
      <c r="E33" s="33">
        <f t="shared" ref="E33:AH33" ca="1" si="111">IF(E26="P",(IF(E30&gt;E32,0,E32-E30))," ")</f>
        <v>0</v>
      </c>
      <c r="F33" s="33" t="str">
        <f t="shared" si="111"/>
        <v xml:space="preserve"> </v>
      </c>
      <c r="G33" s="33">
        <f t="shared" ca="1" si="111"/>
        <v>0</v>
      </c>
      <c r="H33" s="33">
        <f t="shared" ca="1" si="111"/>
        <v>0</v>
      </c>
      <c r="I33" s="33">
        <f t="shared" ca="1" si="111"/>
        <v>0</v>
      </c>
      <c r="J33" s="33">
        <f t="shared" ca="1" si="111"/>
        <v>0</v>
      </c>
      <c r="K33" s="33">
        <f t="shared" ca="1" si="111"/>
        <v>0</v>
      </c>
      <c r="L33" s="33">
        <f t="shared" ca="1" si="111"/>
        <v>0</v>
      </c>
      <c r="M33" s="33" t="str">
        <f t="shared" si="111"/>
        <v xml:space="preserve"> </v>
      </c>
      <c r="N33" s="33">
        <f t="shared" ca="1" si="111"/>
        <v>0</v>
      </c>
      <c r="O33" s="33">
        <f t="shared" ca="1" si="111"/>
        <v>0</v>
      </c>
      <c r="P33" s="33">
        <f t="shared" ca="1" si="111"/>
        <v>0</v>
      </c>
      <c r="Q33" s="33">
        <f t="shared" ca="1" si="111"/>
        <v>0</v>
      </c>
      <c r="R33" s="33">
        <f t="shared" ca="1" si="111"/>
        <v>0</v>
      </c>
      <c r="S33" s="33">
        <f t="shared" ca="1" si="111"/>
        <v>0</v>
      </c>
      <c r="T33" s="33" t="str">
        <f t="shared" si="111"/>
        <v xml:space="preserve"> </v>
      </c>
      <c r="U33" s="33">
        <f t="shared" ca="1" si="111"/>
        <v>0</v>
      </c>
      <c r="V33" s="33">
        <f t="shared" ca="1" si="111"/>
        <v>0</v>
      </c>
      <c r="W33" s="33">
        <f t="shared" ca="1" si="111"/>
        <v>0</v>
      </c>
      <c r="X33" s="33">
        <f t="shared" ca="1" si="111"/>
        <v>0</v>
      </c>
      <c r="Y33" s="33">
        <f t="shared" ca="1" si="111"/>
        <v>0</v>
      </c>
      <c r="Z33" s="33">
        <f t="shared" ca="1" si="111"/>
        <v>0</v>
      </c>
      <c r="AA33" s="33" t="str">
        <f t="shared" si="111"/>
        <v xml:space="preserve"> </v>
      </c>
      <c r="AB33" s="33">
        <f t="shared" ca="1" si="111"/>
        <v>0</v>
      </c>
      <c r="AC33" s="33">
        <f t="shared" ca="1" si="111"/>
        <v>0</v>
      </c>
      <c r="AD33" s="33">
        <f t="shared" ca="1" si="111"/>
        <v>0</v>
      </c>
      <c r="AE33" s="33">
        <f t="shared" ca="1" si="111"/>
        <v>0</v>
      </c>
      <c r="AF33" s="33">
        <f t="shared" ca="1" si="111"/>
        <v>0</v>
      </c>
      <c r="AG33" s="33">
        <f t="shared" ca="1" si="111"/>
        <v>0</v>
      </c>
      <c r="AH33" s="33" t="str">
        <f t="shared" si="111"/>
        <v xml:space="preserve"> </v>
      </c>
      <c r="AI33" s="33">
        <f t="shared" ca="1" si="64"/>
        <v>0</v>
      </c>
      <c r="AJ33" s="34">
        <f t="shared" ca="1" si="110"/>
        <v>0</v>
      </c>
      <c r="AK33" s="35"/>
      <c r="AL33" s="35"/>
      <c r="AM33" s="35"/>
      <c r="AN33" s="35"/>
      <c r="AO33" s="36" t="s">
        <v>22</v>
      </c>
    </row>
    <row r="34" spans="1:41" ht="15.6" thickBot="1" x14ac:dyDescent="0.35">
      <c r="A34" s="14"/>
      <c r="B34" s="15" t="s">
        <v>22</v>
      </c>
      <c r="C34" s="47" t="s">
        <v>22</v>
      </c>
      <c r="D34" s="37" t="s">
        <v>69</v>
      </c>
      <c r="E34" s="9">
        <f t="shared" ref="E34:T34" ca="1" si="112">IF(OR(E$5="",E$5=0),-2,IF(E$6=$D35,-1,RAND()))</f>
        <v>1.4986809283678015E-3</v>
      </c>
      <c r="F34" s="9">
        <f t="shared" ca="1" si="112"/>
        <v>0.98336075243888199</v>
      </c>
      <c r="G34" s="9">
        <f t="shared" ca="1" si="112"/>
        <v>-1</v>
      </c>
      <c r="H34" s="9">
        <f t="shared" ca="1" si="112"/>
        <v>3.5310964039484749E-2</v>
      </c>
      <c r="I34" s="9">
        <f t="shared" ca="1" si="112"/>
        <v>0.92569254112274058</v>
      </c>
      <c r="J34" s="9">
        <f t="shared" ca="1" si="112"/>
        <v>0.96641379556620821</v>
      </c>
      <c r="K34" s="9">
        <f t="shared" ca="1" si="112"/>
        <v>0.55678518879008099</v>
      </c>
      <c r="L34" s="9">
        <f t="shared" ca="1" si="112"/>
        <v>0.16330294288734315</v>
      </c>
      <c r="M34" s="9">
        <f t="shared" ca="1" si="112"/>
        <v>3.7400387969033666E-2</v>
      </c>
      <c r="N34" s="9">
        <f t="shared" ca="1" si="112"/>
        <v>-1</v>
      </c>
      <c r="O34" s="9">
        <f t="shared" ca="1" si="112"/>
        <v>0.20433749496052211</v>
      </c>
      <c r="P34" s="9">
        <f t="shared" ca="1" si="112"/>
        <v>0.52121957961346921</v>
      </c>
      <c r="Q34" s="9">
        <f t="shared" ca="1" si="112"/>
        <v>0.67898119299335158</v>
      </c>
      <c r="R34" s="9">
        <f t="shared" ca="1" si="112"/>
        <v>0.20805080978676105</v>
      </c>
      <c r="S34" s="9">
        <f t="shared" ca="1" si="112"/>
        <v>0.57154522984339851</v>
      </c>
      <c r="T34" s="9">
        <f t="shared" ca="1" si="112"/>
        <v>0.42807226463247228</v>
      </c>
      <c r="U34" s="9">
        <f t="shared" ref="U34:AI34" ca="1" si="113">IF(OR(U$5="",U$5=0),-2,IF(U$6=$D35,-1,RAND()))</f>
        <v>-1</v>
      </c>
      <c r="V34" s="9">
        <f t="shared" ca="1" si="113"/>
        <v>0.6827261480750163</v>
      </c>
      <c r="W34" s="9">
        <f t="shared" ca="1" si="113"/>
        <v>1.7960464101669404E-2</v>
      </c>
      <c r="X34" s="9">
        <f t="shared" ca="1" si="113"/>
        <v>0.40735456970156836</v>
      </c>
      <c r="Y34" s="9">
        <f t="shared" ca="1" si="113"/>
        <v>7.5883251519237582E-3</v>
      </c>
      <c r="Z34" s="9">
        <f t="shared" ca="1" si="113"/>
        <v>0.81128131634980993</v>
      </c>
      <c r="AA34" s="9">
        <f t="shared" ca="1" si="113"/>
        <v>0.75307262134582631</v>
      </c>
      <c r="AB34" s="9">
        <f t="shared" ca="1" si="113"/>
        <v>-1</v>
      </c>
      <c r="AC34" s="9">
        <f t="shared" ca="1" si="113"/>
        <v>0.88737729656008191</v>
      </c>
      <c r="AD34" s="9">
        <f t="shared" ca="1" si="113"/>
        <v>0.97422722529665462</v>
      </c>
      <c r="AE34" s="9">
        <f t="shared" ca="1" si="113"/>
        <v>0.93363433146890318</v>
      </c>
      <c r="AF34" s="9">
        <f t="shared" ca="1" si="113"/>
        <v>0.62728270820354337</v>
      </c>
      <c r="AG34" s="9">
        <f t="shared" ca="1" si="113"/>
        <v>0.24895255178266595</v>
      </c>
      <c r="AH34" s="9">
        <f t="shared" ca="1" si="113"/>
        <v>0.44544437847934004</v>
      </c>
      <c r="AI34" s="9">
        <f t="shared" ca="1" si="113"/>
        <v>-1</v>
      </c>
      <c r="AJ34" s="38"/>
      <c r="AK34" s="37"/>
      <c r="AL34" s="37"/>
      <c r="AM34" s="37"/>
      <c r="AN34" s="37"/>
      <c r="AO34" s="39" t="s">
        <v>22</v>
      </c>
    </row>
    <row r="35" spans="1:41" ht="15.6" thickBot="1" x14ac:dyDescent="0.35">
      <c r="A35" s="42"/>
      <c r="B35" s="44" t="s">
        <v>25</v>
      </c>
      <c r="C35" s="43" t="s">
        <v>47</v>
      </c>
      <c r="D35" s="37" t="s">
        <v>67</v>
      </c>
      <c r="E35" s="9" t="str">
        <f t="shared" ref="E35" ca="1" si="114">IF(OR(E$5="",E$5=0),"",IF(E$6=$D35,"W",IF(_xlfn.RANK.EQ(E34,$E34:$AI34,0)&lt;=INT($AO35),"P",IF(AND(_xlfn.RANK.EQ(E34,$E34:$AI34,0)=INT($AO35)+1,MOD($AO35,1)=0.5),"H","A"))))</f>
        <v>P</v>
      </c>
      <c r="F35" s="9" t="str">
        <f t="shared" ref="F35" ca="1" si="115">IF(OR(F$5="",F$5=0),"",IF(F$6=$D35,"W",IF(_xlfn.RANK.EQ(F34,$E34:$AI34,0)&lt;=INT($AO35),"P",IF(AND(_xlfn.RANK.EQ(F34,$E34:$AI34,0)=INT($AO35)+1,MOD($AO35,1)=0.5),"H","A"))))</f>
        <v>P</v>
      </c>
      <c r="G35" s="9" t="str">
        <f t="shared" ref="G35" si="116">IF(OR(G$5="",G$5=0),"",IF(G$6=$D35,"W",IF(_xlfn.RANK.EQ(G34,$E34:$AI34,0)&lt;=INT($AO35),"P",IF(AND(_xlfn.RANK.EQ(G34,$E34:$AI34,0)=INT($AO35)+1,MOD($AO35,1)=0.5),"H","A"))))</f>
        <v>W</v>
      </c>
      <c r="H35" s="9" t="str">
        <f t="shared" ref="H35" ca="1" si="117">IF(OR(H$5="",H$5=0),"",IF(H$6=$D35,"W",IF(_xlfn.RANK.EQ(H34,$E34:$AI34,0)&lt;=INT($AO35),"P",IF(AND(_xlfn.RANK.EQ(H34,$E34:$AI34,0)=INT($AO35)+1,MOD($AO35,1)=0.5),"H","A"))))</f>
        <v>P</v>
      </c>
      <c r="I35" s="9" t="str">
        <f t="shared" ref="I35" ca="1" si="118">IF(OR(I$5="",I$5=0),"",IF(I$6=$D35,"W",IF(_xlfn.RANK.EQ(I34,$E34:$AI34,0)&lt;=INT($AO35),"P",IF(AND(_xlfn.RANK.EQ(I34,$E34:$AI34,0)=INT($AO35)+1,MOD($AO35,1)=0.5),"H","A"))))</f>
        <v>P</v>
      </c>
      <c r="J35" s="9" t="str">
        <f t="shared" ref="J35" ca="1" si="119">IF(OR(J$5="",J$5=0),"",IF(J$6=$D35,"W",IF(_xlfn.RANK.EQ(J34,$E34:$AI34,0)&lt;=INT($AO35),"P",IF(AND(_xlfn.RANK.EQ(J34,$E34:$AI34,0)=INT($AO35)+1,MOD($AO35,1)=0.5),"H","A"))))</f>
        <v>P</v>
      </c>
      <c r="K35" s="9" t="str">
        <f t="shared" ref="K35" ca="1" si="120">IF(OR(K$5="",K$5=0),"",IF(K$6=$D35,"W",IF(_xlfn.RANK.EQ(K34,$E34:$AI34,0)&lt;=INT($AO35),"P",IF(AND(_xlfn.RANK.EQ(K34,$E34:$AI34,0)=INT($AO35)+1,MOD($AO35,1)=0.5),"H","A"))))</f>
        <v>P</v>
      </c>
      <c r="L35" s="9" t="str">
        <f t="shared" ref="L35" ca="1" si="121">IF(OR(L$5="",L$5=0),"",IF(L$6=$D35,"W",IF(_xlfn.RANK.EQ(L34,$E34:$AI34,0)&lt;=INT($AO35),"P",IF(AND(_xlfn.RANK.EQ(L34,$E34:$AI34,0)=INT($AO35)+1,MOD($AO35,1)=0.5),"H","A"))))</f>
        <v>P</v>
      </c>
      <c r="M35" s="9" t="str">
        <f t="shared" ref="M35" ca="1" si="122">IF(OR(M$5="",M$5=0),"",IF(M$6=$D35,"W",IF(_xlfn.RANK.EQ(M34,$E34:$AI34,0)&lt;=INT($AO35),"P",IF(AND(_xlfn.RANK.EQ(M34,$E34:$AI34,0)=INT($AO35)+1,MOD($AO35,1)=0.5),"H","A"))))</f>
        <v>P</v>
      </c>
      <c r="N35" s="9" t="str">
        <f t="shared" ref="N35" si="123">IF(OR(N$5="",N$5=0),"",IF(N$6=$D35,"W",IF(_xlfn.RANK.EQ(N34,$E34:$AI34,0)&lt;=INT($AO35),"P",IF(AND(_xlfn.RANK.EQ(N34,$E34:$AI34,0)=INT($AO35)+1,MOD($AO35,1)=0.5),"H","A"))))</f>
        <v>W</v>
      </c>
      <c r="O35" s="9" t="str">
        <f t="shared" ref="O35" ca="1" si="124">IF(OR(O$5="",O$5=0),"",IF(O$6=$D35,"W",IF(_xlfn.RANK.EQ(O34,$E34:$AI34,0)&lt;=INT($AO35),"P",IF(AND(_xlfn.RANK.EQ(O34,$E34:$AI34,0)=INT($AO35)+1,MOD($AO35,1)=0.5),"H","A"))))</f>
        <v>P</v>
      </c>
      <c r="P35" s="9" t="str">
        <f t="shared" ref="P35" ca="1" si="125">IF(OR(P$5="",P$5=0),"",IF(P$6=$D35,"W",IF(_xlfn.RANK.EQ(P34,$E34:$AI34,0)&lt;=INT($AO35),"P",IF(AND(_xlfn.RANK.EQ(P34,$E34:$AI34,0)=INT($AO35)+1,MOD($AO35,1)=0.5),"H","A"))))</f>
        <v>P</v>
      </c>
      <c r="Q35" s="9" t="str">
        <f t="shared" ref="Q35" ca="1" si="126">IF(OR(Q$5="",Q$5=0),"",IF(Q$6=$D35,"W",IF(_xlfn.RANK.EQ(Q34,$E34:$AI34,0)&lt;=INT($AO35),"P",IF(AND(_xlfn.RANK.EQ(Q34,$E34:$AI34,0)=INT($AO35)+1,MOD($AO35,1)=0.5),"H","A"))))</f>
        <v>P</v>
      </c>
      <c r="R35" s="9" t="str">
        <f t="shared" ref="R35" ca="1" si="127">IF(OR(R$5="",R$5=0),"",IF(R$6=$D35,"W",IF(_xlfn.RANK.EQ(R34,$E34:$AI34,0)&lt;=INT($AO35),"P",IF(AND(_xlfn.RANK.EQ(R34,$E34:$AI34,0)=INT($AO35)+1,MOD($AO35,1)=0.5),"H","A"))))</f>
        <v>P</v>
      </c>
      <c r="S35" s="9" t="str">
        <f t="shared" ref="S35" ca="1" si="128">IF(OR(S$5="",S$5=0),"",IF(S$6=$D35,"W",IF(_xlfn.RANK.EQ(S34,$E34:$AI34,0)&lt;=INT($AO35),"P",IF(AND(_xlfn.RANK.EQ(S34,$E34:$AI34,0)=INT($AO35)+1,MOD($AO35,1)=0.5),"H","A"))))</f>
        <v>P</v>
      </c>
      <c r="T35" s="9" t="str">
        <f t="shared" ref="T35" ca="1" si="129">IF(OR(T$5="",T$5=0),"",IF(T$6=$D35,"W",IF(_xlfn.RANK.EQ(T34,$E34:$AI34,0)&lt;=INT($AO35),"P",IF(AND(_xlfn.RANK.EQ(T34,$E34:$AI34,0)=INT($AO35)+1,MOD($AO35,1)=0.5),"H","A"))))</f>
        <v>P</v>
      </c>
      <c r="U35" s="9" t="str">
        <f t="shared" ref="U35" si="130">IF(OR(U$5="",U$5=0),"",IF(U$6=$D35,"W",IF(_xlfn.RANK.EQ(U34,$E34:$AI34,0)&lt;=INT($AO35),"P",IF(AND(_xlfn.RANK.EQ(U34,$E34:$AI34,0)=INT($AO35)+1,MOD($AO35,1)=0.5),"H","A"))))</f>
        <v>W</v>
      </c>
      <c r="V35" s="9" t="str">
        <f t="shared" ref="V35" ca="1" si="131">IF(OR(V$5="",V$5=0),"",IF(V$6=$D35,"W",IF(_xlfn.RANK.EQ(V34,$E34:$AI34,0)&lt;=INT($AO35),"P",IF(AND(_xlfn.RANK.EQ(V34,$E34:$AI34,0)=INT($AO35)+1,MOD($AO35,1)=0.5),"H","A"))))</f>
        <v>P</v>
      </c>
      <c r="W35" s="9" t="str">
        <f t="shared" ref="W35" ca="1" si="132">IF(OR(W$5="",W$5=0),"",IF(W$6=$D35,"W",IF(_xlfn.RANK.EQ(W34,$E34:$AI34,0)&lt;=INT($AO35),"P",IF(AND(_xlfn.RANK.EQ(W34,$E34:$AI34,0)=INT($AO35)+1,MOD($AO35,1)=0.5),"H","A"))))</f>
        <v>P</v>
      </c>
      <c r="X35" s="9" t="str">
        <f t="shared" ref="X35" ca="1" si="133">IF(OR(X$5="",X$5=0),"",IF(X$6=$D35,"W",IF(_xlfn.RANK.EQ(X34,$E34:$AI34,0)&lt;=INT($AO35),"P",IF(AND(_xlfn.RANK.EQ(X34,$E34:$AI34,0)=INT($AO35)+1,MOD($AO35,1)=0.5),"H","A"))))</f>
        <v>P</v>
      </c>
      <c r="Y35" s="9" t="str">
        <f t="shared" ref="Y35" ca="1" si="134">IF(OR(Y$5="",Y$5=0),"",IF(Y$6=$D35,"W",IF(_xlfn.RANK.EQ(Y34,$E34:$AI34,0)&lt;=INT($AO35),"P",IF(AND(_xlfn.RANK.EQ(Y34,$E34:$AI34,0)=INT($AO35)+1,MOD($AO35,1)=0.5),"H","A"))))</f>
        <v>P</v>
      </c>
      <c r="Z35" s="9" t="str">
        <f t="shared" ref="Z35" ca="1" si="135">IF(OR(Z$5="",Z$5=0),"",IF(Z$6=$D35,"W",IF(_xlfn.RANK.EQ(Z34,$E34:$AI34,0)&lt;=INT($AO35),"P",IF(AND(_xlfn.RANK.EQ(Z34,$E34:$AI34,0)=INT($AO35)+1,MOD($AO35,1)=0.5),"H","A"))))</f>
        <v>P</v>
      </c>
      <c r="AA35" s="9" t="str">
        <f t="shared" ref="AA35" ca="1" si="136">IF(OR(AA$5="",AA$5=0),"",IF(AA$6=$D35,"W",IF(_xlfn.RANK.EQ(AA34,$E34:$AI34,0)&lt;=INT($AO35),"P",IF(AND(_xlfn.RANK.EQ(AA34,$E34:$AI34,0)=INT($AO35)+1,MOD($AO35,1)=0.5),"H","A"))))</f>
        <v>P</v>
      </c>
      <c r="AB35" s="9" t="str">
        <f t="shared" ref="AB35" si="137">IF(OR(AB$5="",AB$5=0),"",IF(AB$6=$D35,"W",IF(_xlfn.RANK.EQ(AB34,$E34:$AI34,0)&lt;=INT($AO35),"P",IF(AND(_xlfn.RANK.EQ(AB34,$E34:$AI34,0)=INT($AO35)+1,MOD($AO35,1)=0.5),"H","A"))))</f>
        <v>W</v>
      </c>
      <c r="AC35" s="9" t="str">
        <f t="shared" ref="AC35" ca="1" si="138">IF(OR(AC$5="",AC$5=0),"",IF(AC$6=$D35,"W",IF(_xlfn.RANK.EQ(AC34,$E34:$AI34,0)&lt;=INT($AO35),"P",IF(AND(_xlfn.RANK.EQ(AC34,$E34:$AI34,0)=INT($AO35)+1,MOD($AO35,1)=0.5),"H","A"))))</f>
        <v>P</v>
      </c>
      <c r="AD35" s="9" t="str">
        <f t="shared" ref="AD35" ca="1" si="139">IF(OR(AD$5="",AD$5=0),"",IF(AD$6=$D35,"W",IF(_xlfn.RANK.EQ(AD34,$E34:$AI34,0)&lt;=INT($AO35),"P",IF(AND(_xlfn.RANK.EQ(AD34,$E34:$AI34,0)=INT($AO35)+1,MOD($AO35,1)=0.5),"H","A"))))</f>
        <v>P</v>
      </c>
      <c r="AE35" s="9" t="str">
        <f t="shared" ref="AE35" ca="1" si="140">IF(OR(AE$5="",AE$5=0),"",IF(AE$6=$D35,"W",IF(_xlfn.RANK.EQ(AE34,$E34:$AI34,0)&lt;=INT($AO35),"P",IF(AND(_xlfn.RANK.EQ(AE34,$E34:$AI34,0)=INT($AO35)+1,MOD($AO35,1)=0.5),"H","A"))))</f>
        <v>P</v>
      </c>
      <c r="AF35" s="9" t="str">
        <f t="shared" ref="AF35" ca="1" si="141">IF(OR(AF$5="",AF$5=0),"",IF(AF$6=$D35,"W",IF(_xlfn.RANK.EQ(AF34,$E34:$AI34,0)&lt;=INT($AO35),"P",IF(AND(_xlfn.RANK.EQ(AF34,$E34:$AI34,0)=INT($AO35)+1,MOD($AO35,1)=0.5),"H","A"))))</f>
        <v>P</v>
      </c>
      <c r="AG35" s="9" t="str">
        <f t="shared" ref="AG35" ca="1" si="142">IF(OR(AG$5="",AG$5=0),"",IF(AG$6=$D35,"W",IF(_xlfn.RANK.EQ(AG34,$E34:$AI34,0)&lt;=INT($AO35),"P",IF(AND(_xlfn.RANK.EQ(AG34,$E34:$AI34,0)=INT($AO35)+1,MOD($AO35,1)=0.5),"H","A"))))</f>
        <v>P</v>
      </c>
      <c r="AH35" s="9" t="str">
        <f t="shared" ref="AH35" ca="1" si="143">IF(OR(AH$5="",AH$5=0),"",IF(AH$6=$D35,"W",IF(_xlfn.RANK.EQ(AH34,$E34:$AI34,0)&lt;=INT($AO35),"P",IF(AND(_xlfn.RANK.EQ(AH34,$E34:$AI34,0)=INT($AO35)+1,MOD($AO35,1)=0.5),"H","A"))))</f>
        <v>P</v>
      </c>
      <c r="AI35" s="9" t="str">
        <f t="shared" ref="AI35" si="144">IF(OR(AI$5="",AI$5=0),"",IF(AI$6=$D35,"W",IF(_xlfn.RANK.EQ(AI34,$E34:$AI34,0)&lt;=INT($AO35),"P",IF(AND(_xlfn.RANK.EQ(AI34,$E34:$AI34,0)=INT($AO35)+1,MOD($AO35,1)=0.5),"H","A"))))</f>
        <v>W</v>
      </c>
      <c r="AJ35" s="16">
        <f t="shared" ref="AJ35" ca="1" si="145">COUNTIF(E35:AI35, "P")</f>
        <v>26</v>
      </c>
      <c r="AK35" s="17">
        <f t="shared" ref="AK35" ca="1" si="146">COUNTIF(E35:AH35, "A")</f>
        <v>0</v>
      </c>
      <c r="AL35" s="17">
        <f t="shared" ref="AL35" ca="1" si="147">COUNTIF(E35:AH35, "W")</f>
        <v>4</v>
      </c>
      <c r="AM35" s="17">
        <f t="shared" ref="AM35" ca="1" si="148">COUNTIF(E35:AH35, "H")</f>
        <v>0</v>
      </c>
      <c r="AN35" s="17">
        <f t="shared" ref="AN35" ca="1" si="149">COUNTIF(E35:AH35, "PL")</f>
        <v>0</v>
      </c>
      <c r="AO35" s="18">
        <v>26</v>
      </c>
    </row>
    <row r="36" spans="1:41" ht="15" x14ac:dyDescent="0.3">
      <c r="A36" s="19"/>
      <c r="B36" s="1" t="s">
        <v>22</v>
      </c>
      <c r="C36" s="48" t="s">
        <v>22</v>
      </c>
      <c r="D36" s="45" t="s">
        <v>1</v>
      </c>
      <c r="E36" s="20" t="str">
        <f t="shared" ref="E36:AI45" ca="1" si="150">IF(E35="P", IF($D34="G", TEXT(RAND()*(9.27-9.62)/24+9.62/24,"HH:MM"), IF($D34="A", TEXT(RAND()*(8.06-8.1)/24+8.15/24,"HH:MM"), IF($D34="B", TEXT(RAND()*(16.06-16.1)/24+16.15/24,"HH:MM"), IF($D34="C", TEXT(RAND()*(24.85-24.13)/24+24.13/24,"HH:MM"), " ")))), "")</f>
        <v>16:07</v>
      </c>
      <c r="F36" s="20" t="str">
        <f t="shared" ca="1" si="150"/>
        <v>16:07</v>
      </c>
      <c r="G36" s="20" t="str">
        <f t="shared" ca="1" si="150"/>
        <v/>
      </c>
      <c r="H36" s="20" t="str">
        <f t="shared" ca="1" si="150"/>
        <v>16:06</v>
      </c>
      <c r="I36" s="20" t="str">
        <f t="shared" ca="1" si="150"/>
        <v>16:07</v>
      </c>
      <c r="J36" s="20" t="str">
        <f t="shared" ca="1" si="150"/>
        <v>16:06</v>
      </c>
      <c r="K36" s="20" t="str">
        <f t="shared" ca="1" si="150"/>
        <v>16:08</v>
      </c>
      <c r="L36" s="20" t="str">
        <f t="shared" ca="1" si="150"/>
        <v>16:07</v>
      </c>
      <c r="M36" s="20" t="str">
        <f t="shared" ca="1" si="150"/>
        <v>16:08</v>
      </c>
      <c r="N36" s="20" t="str">
        <f t="shared" ca="1" si="150"/>
        <v/>
      </c>
      <c r="O36" s="20" t="str">
        <f t="shared" ca="1" si="150"/>
        <v>16:07</v>
      </c>
      <c r="P36" s="20" t="str">
        <f t="shared" ca="1" si="150"/>
        <v>16:08</v>
      </c>
      <c r="Q36" s="20" t="str">
        <f t="shared" ca="1" si="150"/>
        <v>16:08</v>
      </c>
      <c r="R36" s="20" t="str">
        <f t="shared" ca="1" si="150"/>
        <v>16:06</v>
      </c>
      <c r="S36" s="20" t="str">
        <f t="shared" ca="1" si="150"/>
        <v>16:06</v>
      </c>
      <c r="T36" s="20" t="str">
        <f t="shared" ca="1" si="150"/>
        <v>16:08</v>
      </c>
      <c r="U36" s="20" t="str">
        <f t="shared" ca="1" si="150"/>
        <v/>
      </c>
      <c r="V36" s="20" t="str">
        <f t="shared" ca="1" si="150"/>
        <v>16:08</v>
      </c>
      <c r="W36" s="20" t="str">
        <f t="shared" ca="1" si="150"/>
        <v>16:07</v>
      </c>
      <c r="X36" s="20" t="str">
        <f t="shared" ca="1" si="150"/>
        <v>16:07</v>
      </c>
      <c r="Y36" s="20" t="str">
        <f t="shared" ca="1" si="150"/>
        <v>16:07</v>
      </c>
      <c r="Z36" s="20" t="str">
        <f t="shared" ca="1" si="150"/>
        <v>16:08</v>
      </c>
      <c r="AA36" s="20" t="str">
        <f t="shared" ca="1" si="150"/>
        <v>16:08</v>
      </c>
      <c r="AB36" s="20" t="str">
        <f t="shared" ca="1" si="150"/>
        <v/>
      </c>
      <c r="AC36" s="20" t="str">
        <f t="shared" ca="1" si="150"/>
        <v>16:06</v>
      </c>
      <c r="AD36" s="20" t="str">
        <f t="shared" ca="1" si="150"/>
        <v>16:07</v>
      </c>
      <c r="AE36" s="20" t="str">
        <f t="shared" ca="1" si="150"/>
        <v>16:08</v>
      </c>
      <c r="AF36" s="20" t="str">
        <f t="shared" ca="1" si="150"/>
        <v>16:07</v>
      </c>
      <c r="AG36" s="20" t="str">
        <f t="shared" ca="1" si="150"/>
        <v>16:08</v>
      </c>
      <c r="AH36" s="20" t="str">
        <f t="shared" ca="1" si="150"/>
        <v>16:08</v>
      </c>
      <c r="AI36" s="20" t="str">
        <f t="shared" ca="1" si="150"/>
        <v/>
      </c>
      <c r="AJ36" s="21"/>
      <c r="AK36" s="22"/>
      <c r="AL36" s="22"/>
      <c r="AM36" s="22"/>
      <c r="AN36" s="22"/>
      <c r="AO36" s="23" t="s">
        <v>22</v>
      </c>
    </row>
    <row r="37" spans="1:41" ht="15" x14ac:dyDescent="0.3">
      <c r="A37" s="19"/>
      <c r="B37" s="1" t="s">
        <v>22</v>
      </c>
      <c r="C37" s="48" t="s">
        <v>22</v>
      </c>
      <c r="D37" s="45" t="s">
        <v>2</v>
      </c>
      <c r="E37" s="20" t="str">
        <f t="shared" ref="E37:AI46" ca="1" si="151">IF(E35="P", IF($D34="G", TEXT(RAND()*(18.85-18.13)/24+18.13/24,"HH:MM"), IF($D34="A", TEXT(RAND()*(16.85-16.13)/24+16.13/24,"HH:MM"), IF($D34="B", TEXT(RAND()*(24.85-24.13)/24+24.13/24,"HH:MM"), IF($D34="C", TEXT(RAND()*(8.85-8.13)/24+8.13/24,"HH:MM"), " ")))), "")</f>
        <v>00:49</v>
      </c>
      <c r="F37" s="20" t="str">
        <f t="shared" ca="1" si="151"/>
        <v>00:15</v>
      </c>
      <c r="G37" s="20" t="str">
        <f t="shared" ca="1" si="151"/>
        <v/>
      </c>
      <c r="H37" s="20" t="str">
        <f t="shared" ca="1" si="151"/>
        <v>00:34</v>
      </c>
      <c r="I37" s="20" t="str">
        <f t="shared" ca="1" si="151"/>
        <v>00:38</v>
      </c>
      <c r="J37" s="20" t="str">
        <f t="shared" ca="1" si="151"/>
        <v>00:29</v>
      </c>
      <c r="K37" s="20" t="str">
        <f t="shared" ca="1" si="151"/>
        <v>00:41</v>
      </c>
      <c r="L37" s="20" t="str">
        <f t="shared" ca="1" si="151"/>
        <v>00:26</v>
      </c>
      <c r="M37" s="20" t="str">
        <f t="shared" ca="1" si="151"/>
        <v>00:26</v>
      </c>
      <c r="N37" s="20" t="str">
        <f t="shared" ca="1" si="151"/>
        <v/>
      </c>
      <c r="O37" s="20" t="str">
        <f t="shared" ca="1" si="151"/>
        <v>00:34</v>
      </c>
      <c r="P37" s="20" t="str">
        <f t="shared" ca="1" si="151"/>
        <v>00:49</v>
      </c>
      <c r="Q37" s="20" t="str">
        <f t="shared" ca="1" si="151"/>
        <v>00:11</v>
      </c>
      <c r="R37" s="20" t="str">
        <f t="shared" ca="1" si="151"/>
        <v>00:40</v>
      </c>
      <c r="S37" s="20" t="str">
        <f t="shared" ca="1" si="151"/>
        <v>00:38</v>
      </c>
      <c r="T37" s="20" t="str">
        <f t="shared" ca="1" si="151"/>
        <v>00:50</v>
      </c>
      <c r="U37" s="20" t="str">
        <f t="shared" ca="1" si="151"/>
        <v/>
      </c>
      <c r="V37" s="20" t="str">
        <f t="shared" ca="1" si="151"/>
        <v>00:19</v>
      </c>
      <c r="W37" s="20" t="str">
        <f t="shared" ca="1" si="151"/>
        <v>00:15</v>
      </c>
      <c r="X37" s="20" t="str">
        <f t="shared" ca="1" si="151"/>
        <v>00:18</v>
      </c>
      <c r="Y37" s="20" t="str">
        <f t="shared" ca="1" si="151"/>
        <v>00:34</v>
      </c>
      <c r="Z37" s="20" t="str">
        <f t="shared" ca="1" si="151"/>
        <v>00:40</v>
      </c>
      <c r="AA37" s="20" t="str">
        <f t="shared" ca="1" si="151"/>
        <v>00:31</v>
      </c>
      <c r="AB37" s="20" t="str">
        <f t="shared" ca="1" si="151"/>
        <v/>
      </c>
      <c r="AC37" s="20" t="str">
        <f t="shared" ca="1" si="151"/>
        <v>00:32</v>
      </c>
      <c r="AD37" s="20" t="str">
        <f t="shared" ca="1" si="151"/>
        <v>00:47</v>
      </c>
      <c r="AE37" s="20" t="str">
        <f t="shared" ca="1" si="151"/>
        <v>00:40</v>
      </c>
      <c r="AF37" s="20" t="str">
        <f t="shared" ca="1" si="151"/>
        <v>00:08</v>
      </c>
      <c r="AG37" s="20" t="str">
        <f t="shared" ca="1" si="151"/>
        <v>00:43</v>
      </c>
      <c r="AH37" s="20" t="str">
        <f t="shared" ca="1" si="151"/>
        <v>00:46</v>
      </c>
      <c r="AI37" s="20" t="str">
        <f t="shared" ca="1" si="151"/>
        <v/>
      </c>
      <c r="AJ37" s="24" t="s">
        <v>13</v>
      </c>
      <c r="AK37" s="25"/>
      <c r="AL37" s="25"/>
      <c r="AM37" s="25"/>
      <c r="AN37" s="25"/>
      <c r="AO37" s="23" t="s">
        <v>22</v>
      </c>
    </row>
    <row r="38" spans="1:41" ht="15" x14ac:dyDescent="0.3">
      <c r="A38" s="26"/>
      <c r="B38" s="1" t="s">
        <v>22</v>
      </c>
      <c r="C38" s="48" t="s">
        <v>22</v>
      </c>
      <c r="D38" s="45" t="s">
        <v>14</v>
      </c>
      <c r="E38" s="27">
        <f t="shared" ref="E38:AI47" ca="1" si="152">IF(E35="P", MOD(E37-E36, 1), " ")</f>
        <v>0.36250000000000004</v>
      </c>
      <c r="F38" s="27">
        <f t="shared" ca="1" si="152"/>
        <v>0.33888888888888891</v>
      </c>
      <c r="G38" s="27" t="str">
        <f t="shared" si="152"/>
        <v xml:space="preserve"> </v>
      </c>
      <c r="H38" s="27">
        <f t="shared" ca="1" si="152"/>
        <v>0.35277777777777786</v>
      </c>
      <c r="I38" s="27">
        <f t="shared" ca="1" si="152"/>
        <v>0.35486111111111118</v>
      </c>
      <c r="J38" s="27">
        <f t="shared" ca="1" si="152"/>
        <v>0.34930555555555565</v>
      </c>
      <c r="K38" s="27">
        <f t="shared" ca="1" si="152"/>
        <v>0.35624999999999996</v>
      </c>
      <c r="L38" s="27">
        <f t="shared" ca="1" si="152"/>
        <v>0.34652777777777788</v>
      </c>
      <c r="M38" s="27">
        <f t="shared" ca="1" si="152"/>
        <v>0.34583333333333333</v>
      </c>
      <c r="N38" s="27" t="str">
        <f t="shared" si="152"/>
        <v xml:space="preserve"> </v>
      </c>
      <c r="O38" s="27">
        <f t="shared" ca="1" si="152"/>
        <v>0.35208333333333341</v>
      </c>
      <c r="P38" s="27">
        <f t="shared" ca="1" si="152"/>
        <v>0.36180555555555549</v>
      </c>
      <c r="Q38" s="27">
        <f t="shared" ca="1" si="152"/>
        <v>0.33541666666666659</v>
      </c>
      <c r="R38" s="27">
        <f t="shared" ca="1" si="152"/>
        <v>0.35694444444444451</v>
      </c>
      <c r="S38" s="27">
        <f t="shared" ca="1" si="152"/>
        <v>0.35555555555555562</v>
      </c>
      <c r="T38" s="27">
        <f t="shared" ca="1" si="152"/>
        <v>0.36249999999999993</v>
      </c>
      <c r="U38" s="27" t="str">
        <f t="shared" si="152"/>
        <v xml:space="preserve"> </v>
      </c>
      <c r="V38" s="27">
        <f t="shared" ca="1" si="152"/>
        <v>0.34097222222222212</v>
      </c>
      <c r="W38" s="27">
        <f t="shared" ca="1" si="152"/>
        <v>0.33888888888888891</v>
      </c>
      <c r="X38" s="27">
        <f t="shared" ca="1" si="152"/>
        <v>0.34097222222222223</v>
      </c>
      <c r="Y38" s="27">
        <f t="shared" ca="1" si="152"/>
        <v>0.35208333333333341</v>
      </c>
      <c r="Z38" s="27">
        <f t="shared" ca="1" si="152"/>
        <v>0.35555555555555551</v>
      </c>
      <c r="AA38" s="27">
        <f t="shared" ca="1" si="152"/>
        <v>0.34930555555555554</v>
      </c>
      <c r="AB38" s="27" t="str">
        <f t="shared" si="152"/>
        <v xml:space="preserve"> </v>
      </c>
      <c r="AC38" s="27">
        <f t="shared" ca="1" si="152"/>
        <v>0.35138888888888897</v>
      </c>
      <c r="AD38" s="27">
        <f t="shared" ca="1" si="152"/>
        <v>0.36111111111111116</v>
      </c>
      <c r="AE38" s="27">
        <f t="shared" ca="1" si="152"/>
        <v>0.35555555555555551</v>
      </c>
      <c r="AF38" s="27">
        <f t="shared" ca="1" si="152"/>
        <v>0.33402777777777781</v>
      </c>
      <c r="AG38" s="27">
        <f t="shared" ca="1" si="152"/>
        <v>0.35763888888888884</v>
      </c>
      <c r="AH38" s="27">
        <f t="shared" ca="1" si="152"/>
        <v>0.35972222222222217</v>
      </c>
      <c r="AI38" s="27" t="str">
        <f t="shared" si="152"/>
        <v xml:space="preserve"> </v>
      </c>
      <c r="AJ38" s="28">
        <f t="shared" ref="AJ38" ca="1" si="153">AJ35*8</f>
        <v>208</v>
      </c>
      <c r="AK38" s="29"/>
      <c r="AL38" s="29"/>
      <c r="AM38" s="29"/>
      <c r="AN38" s="29"/>
      <c r="AO38" s="23" t="s">
        <v>22</v>
      </c>
    </row>
    <row r="39" spans="1:41" ht="15" x14ac:dyDescent="0.3">
      <c r="A39" s="26"/>
      <c r="B39" s="1" t="s">
        <v>22</v>
      </c>
      <c r="C39" s="48" t="s">
        <v>22</v>
      </c>
      <c r="D39" s="45" t="s">
        <v>19</v>
      </c>
      <c r="E39" s="27" t="str">
        <f t="shared" ref="E39:AI48" ca="1" si="154">IF(E35="P","08:00"," ")</f>
        <v>08:00</v>
      </c>
      <c r="F39" s="27" t="str">
        <f t="shared" ca="1" si="154"/>
        <v>08:00</v>
      </c>
      <c r="G39" s="27" t="str">
        <f t="shared" si="154"/>
        <v xml:space="preserve"> </v>
      </c>
      <c r="H39" s="27" t="str">
        <f t="shared" ca="1" si="154"/>
        <v>08:00</v>
      </c>
      <c r="I39" s="27" t="str">
        <f t="shared" ca="1" si="154"/>
        <v>08:00</v>
      </c>
      <c r="J39" s="27" t="str">
        <f t="shared" ca="1" si="154"/>
        <v>08:00</v>
      </c>
      <c r="K39" s="27" t="str">
        <f t="shared" ca="1" si="154"/>
        <v>08:00</v>
      </c>
      <c r="L39" s="27" t="str">
        <f t="shared" ca="1" si="154"/>
        <v>08:00</v>
      </c>
      <c r="M39" s="27" t="str">
        <f t="shared" ca="1" si="154"/>
        <v>08:00</v>
      </c>
      <c r="N39" s="27" t="str">
        <f t="shared" si="154"/>
        <v xml:space="preserve"> </v>
      </c>
      <c r="O39" s="27" t="str">
        <f t="shared" ca="1" si="154"/>
        <v>08:00</v>
      </c>
      <c r="P39" s="27" t="str">
        <f t="shared" ca="1" si="154"/>
        <v>08:00</v>
      </c>
      <c r="Q39" s="27" t="str">
        <f t="shared" ca="1" si="154"/>
        <v>08:00</v>
      </c>
      <c r="R39" s="27" t="str">
        <f t="shared" ca="1" si="154"/>
        <v>08:00</v>
      </c>
      <c r="S39" s="27" t="str">
        <f t="shared" ca="1" si="154"/>
        <v>08:00</v>
      </c>
      <c r="T39" s="27" t="str">
        <f t="shared" ca="1" si="154"/>
        <v>08:00</v>
      </c>
      <c r="U39" s="27" t="str">
        <f t="shared" si="154"/>
        <v xml:space="preserve"> </v>
      </c>
      <c r="V39" s="27" t="str">
        <f t="shared" ca="1" si="154"/>
        <v>08:00</v>
      </c>
      <c r="W39" s="27" t="str">
        <f t="shared" ca="1" si="154"/>
        <v>08:00</v>
      </c>
      <c r="X39" s="27" t="str">
        <f t="shared" ca="1" si="154"/>
        <v>08:00</v>
      </c>
      <c r="Y39" s="27" t="str">
        <f t="shared" ca="1" si="154"/>
        <v>08:00</v>
      </c>
      <c r="Z39" s="27" t="str">
        <f t="shared" ca="1" si="154"/>
        <v>08:00</v>
      </c>
      <c r="AA39" s="27" t="str">
        <f t="shared" ca="1" si="154"/>
        <v>08:00</v>
      </c>
      <c r="AB39" s="27" t="str">
        <f t="shared" si="154"/>
        <v xml:space="preserve"> </v>
      </c>
      <c r="AC39" s="27" t="str">
        <f t="shared" ca="1" si="154"/>
        <v>08:00</v>
      </c>
      <c r="AD39" s="27" t="str">
        <f t="shared" ca="1" si="154"/>
        <v>08:00</v>
      </c>
      <c r="AE39" s="27" t="str">
        <f t="shared" ca="1" si="154"/>
        <v>08:00</v>
      </c>
      <c r="AF39" s="27" t="str">
        <f t="shared" ca="1" si="154"/>
        <v>08:00</v>
      </c>
      <c r="AG39" s="27" t="str">
        <f t="shared" ca="1" si="154"/>
        <v>08:00</v>
      </c>
      <c r="AH39" s="27" t="str">
        <f t="shared" ca="1" si="154"/>
        <v>08:00</v>
      </c>
      <c r="AI39" s="27" t="str">
        <f t="shared" si="154"/>
        <v xml:space="preserve"> </v>
      </c>
      <c r="AJ39" s="28"/>
      <c r="AK39" s="29"/>
      <c r="AL39" s="29"/>
      <c r="AM39" s="29"/>
      <c r="AN39" s="29"/>
      <c r="AO39" s="23" t="s">
        <v>22</v>
      </c>
    </row>
    <row r="40" spans="1:41" ht="15" x14ac:dyDescent="0.3">
      <c r="A40" s="26"/>
      <c r="B40" s="1" t="s">
        <v>22</v>
      </c>
      <c r="C40" s="48" t="s">
        <v>22</v>
      </c>
      <c r="D40" s="45" t="s">
        <v>12</v>
      </c>
      <c r="E40" s="27" t="str">
        <f t="shared" ref="E40:AI49" ca="1" si="155">IF(E35="P","01:00"," ")</f>
        <v>01:00</v>
      </c>
      <c r="F40" s="27" t="str">
        <f t="shared" ca="1" si="155"/>
        <v>01:00</v>
      </c>
      <c r="G40" s="27" t="str">
        <f t="shared" si="155"/>
        <v xml:space="preserve"> </v>
      </c>
      <c r="H40" s="27" t="str">
        <f t="shared" ca="1" si="155"/>
        <v>01:00</v>
      </c>
      <c r="I40" s="27" t="str">
        <f t="shared" ca="1" si="155"/>
        <v>01:00</v>
      </c>
      <c r="J40" s="27" t="str">
        <f t="shared" ca="1" si="155"/>
        <v>01:00</v>
      </c>
      <c r="K40" s="27" t="str">
        <f t="shared" ca="1" si="155"/>
        <v>01:00</v>
      </c>
      <c r="L40" s="27" t="str">
        <f t="shared" ca="1" si="155"/>
        <v>01:00</v>
      </c>
      <c r="M40" s="27" t="str">
        <f t="shared" ca="1" si="155"/>
        <v>01:00</v>
      </c>
      <c r="N40" s="27" t="str">
        <f t="shared" si="155"/>
        <v xml:space="preserve"> </v>
      </c>
      <c r="O40" s="27" t="str">
        <f t="shared" ca="1" si="155"/>
        <v>01:00</v>
      </c>
      <c r="P40" s="27" t="str">
        <f t="shared" ca="1" si="155"/>
        <v>01:00</v>
      </c>
      <c r="Q40" s="27" t="str">
        <f t="shared" ca="1" si="155"/>
        <v>01:00</v>
      </c>
      <c r="R40" s="27" t="str">
        <f t="shared" ca="1" si="155"/>
        <v>01:00</v>
      </c>
      <c r="S40" s="27" t="str">
        <f t="shared" ca="1" si="155"/>
        <v>01:00</v>
      </c>
      <c r="T40" s="27" t="str">
        <f t="shared" ca="1" si="155"/>
        <v>01:00</v>
      </c>
      <c r="U40" s="27" t="str">
        <f t="shared" si="155"/>
        <v xml:space="preserve"> </v>
      </c>
      <c r="V40" s="27" t="str">
        <f t="shared" ca="1" si="155"/>
        <v>01:00</v>
      </c>
      <c r="W40" s="27" t="str">
        <f t="shared" ca="1" si="155"/>
        <v>01:00</v>
      </c>
      <c r="X40" s="27" t="str">
        <f t="shared" ca="1" si="155"/>
        <v>01:00</v>
      </c>
      <c r="Y40" s="27" t="str">
        <f t="shared" ca="1" si="155"/>
        <v>01:00</v>
      </c>
      <c r="Z40" s="27" t="str">
        <f t="shared" ca="1" si="155"/>
        <v>01:00</v>
      </c>
      <c r="AA40" s="27" t="str">
        <f t="shared" ca="1" si="155"/>
        <v>01:00</v>
      </c>
      <c r="AB40" s="27" t="str">
        <f t="shared" si="155"/>
        <v xml:space="preserve"> </v>
      </c>
      <c r="AC40" s="27" t="str">
        <f t="shared" ca="1" si="155"/>
        <v>01:00</v>
      </c>
      <c r="AD40" s="27" t="str">
        <f t="shared" ca="1" si="155"/>
        <v>01:00</v>
      </c>
      <c r="AE40" s="27" t="str">
        <f t="shared" ca="1" si="155"/>
        <v>01:00</v>
      </c>
      <c r="AF40" s="27" t="str">
        <f t="shared" ca="1" si="155"/>
        <v>01:00</v>
      </c>
      <c r="AG40" s="27" t="str">
        <f t="shared" ca="1" si="155"/>
        <v>01:00</v>
      </c>
      <c r="AH40" s="27" t="str">
        <f t="shared" ca="1" si="155"/>
        <v>01:00</v>
      </c>
      <c r="AI40" s="27" t="str">
        <f t="shared" si="155"/>
        <v xml:space="preserve"> </v>
      </c>
      <c r="AJ40" s="24" t="s">
        <v>11</v>
      </c>
      <c r="AK40" s="25"/>
      <c r="AL40" s="25"/>
      <c r="AM40" s="25"/>
      <c r="AN40" s="25"/>
      <c r="AO40" s="23" t="s">
        <v>22</v>
      </c>
    </row>
    <row r="41" spans="1:41" ht="15" x14ac:dyDescent="0.3">
      <c r="A41" s="26"/>
      <c r="B41" s="1" t="s">
        <v>22</v>
      </c>
      <c r="C41" s="48" t="s">
        <v>22</v>
      </c>
      <c r="D41" s="45" t="s">
        <v>11</v>
      </c>
      <c r="E41" s="27">
        <f t="shared" ref="E41:AI50" ca="1" si="156">IF(E35="P",E38-E40," ")</f>
        <v>0.32083333333333336</v>
      </c>
      <c r="F41" s="27">
        <f t="shared" ca="1" si="156"/>
        <v>0.29722222222222222</v>
      </c>
      <c r="G41" s="27" t="str">
        <f t="shared" si="156"/>
        <v xml:space="preserve"> </v>
      </c>
      <c r="H41" s="27">
        <f t="shared" ca="1" si="156"/>
        <v>0.31111111111111117</v>
      </c>
      <c r="I41" s="27">
        <f t="shared" ca="1" si="156"/>
        <v>0.3131944444444445</v>
      </c>
      <c r="J41" s="27">
        <f t="shared" ca="1" si="156"/>
        <v>0.30763888888888896</v>
      </c>
      <c r="K41" s="27">
        <f t="shared" ca="1" si="156"/>
        <v>0.31458333333333327</v>
      </c>
      <c r="L41" s="27">
        <f t="shared" ca="1" si="156"/>
        <v>0.30486111111111119</v>
      </c>
      <c r="M41" s="27">
        <f t="shared" ca="1" si="156"/>
        <v>0.30416666666666664</v>
      </c>
      <c r="N41" s="27" t="str">
        <f t="shared" si="156"/>
        <v xml:space="preserve"> </v>
      </c>
      <c r="O41" s="27">
        <f t="shared" ca="1" si="156"/>
        <v>0.31041666666666673</v>
      </c>
      <c r="P41" s="27">
        <f t="shared" ca="1" si="156"/>
        <v>0.32013888888888881</v>
      </c>
      <c r="Q41" s="27">
        <f t="shared" ca="1" si="156"/>
        <v>0.2937499999999999</v>
      </c>
      <c r="R41" s="27">
        <f t="shared" ca="1" si="156"/>
        <v>0.31527777777777782</v>
      </c>
      <c r="S41" s="27">
        <f t="shared" ca="1" si="156"/>
        <v>0.31388888888888894</v>
      </c>
      <c r="T41" s="27">
        <f t="shared" ca="1" si="156"/>
        <v>0.32083333333333325</v>
      </c>
      <c r="U41" s="27" t="str">
        <f t="shared" si="156"/>
        <v xml:space="preserve"> </v>
      </c>
      <c r="V41" s="27">
        <f t="shared" ca="1" si="156"/>
        <v>0.29930555555555544</v>
      </c>
      <c r="W41" s="27">
        <f t="shared" ca="1" si="156"/>
        <v>0.29722222222222222</v>
      </c>
      <c r="X41" s="27">
        <f t="shared" ca="1" si="156"/>
        <v>0.29930555555555555</v>
      </c>
      <c r="Y41" s="27">
        <f t="shared" ca="1" si="156"/>
        <v>0.31041666666666673</v>
      </c>
      <c r="Z41" s="27">
        <f t="shared" ca="1" si="156"/>
        <v>0.31388888888888883</v>
      </c>
      <c r="AA41" s="27">
        <f t="shared" ca="1" si="156"/>
        <v>0.30763888888888885</v>
      </c>
      <c r="AB41" s="27" t="str">
        <f t="shared" si="156"/>
        <v xml:space="preserve"> </v>
      </c>
      <c r="AC41" s="27">
        <f t="shared" ca="1" si="156"/>
        <v>0.30972222222222229</v>
      </c>
      <c r="AD41" s="27">
        <f t="shared" ca="1" si="156"/>
        <v>0.31944444444444448</v>
      </c>
      <c r="AE41" s="27">
        <f t="shared" ca="1" si="156"/>
        <v>0.31388888888888883</v>
      </c>
      <c r="AF41" s="27">
        <f t="shared" ca="1" si="156"/>
        <v>0.29236111111111113</v>
      </c>
      <c r="AG41" s="27">
        <f t="shared" ca="1" si="156"/>
        <v>0.31597222222222215</v>
      </c>
      <c r="AH41" s="27">
        <f t="shared" ca="1" si="156"/>
        <v>0.31805555555555548</v>
      </c>
      <c r="AI41" s="27" t="str">
        <f t="shared" si="156"/>
        <v xml:space="preserve"> </v>
      </c>
      <c r="AJ41" s="30">
        <f t="shared" ref="AJ41:AJ42" ca="1" si="157">SUM(E41:AH41)</f>
        <v>8.0451388888888893</v>
      </c>
      <c r="AK41" s="25"/>
      <c r="AL41" s="25"/>
      <c r="AM41" s="25"/>
      <c r="AN41" s="25"/>
      <c r="AO41" s="23" t="s">
        <v>22</v>
      </c>
    </row>
    <row r="42" spans="1:41" ht="15.6" thickBot="1" x14ac:dyDescent="0.35">
      <c r="A42" s="31"/>
      <c r="B42" s="32" t="s">
        <v>22</v>
      </c>
      <c r="C42" s="49" t="s">
        <v>22</v>
      </c>
      <c r="D42" s="46" t="s">
        <v>20</v>
      </c>
      <c r="E42" s="33">
        <f t="shared" ref="E42:AI51" ca="1" si="158">IF(E35="P",(IF(E39&gt;E41,0,E41-E39))," ")</f>
        <v>0</v>
      </c>
      <c r="F42" s="33">
        <f t="shared" ca="1" si="158"/>
        <v>0</v>
      </c>
      <c r="G42" s="33" t="str">
        <f t="shared" si="158"/>
        <v xml:space="preserve"> </v>
      </c>
      <c r="H42" s="33">
        <f t="shared" ca="1" si="158"/>
        <v>0</v>
      </c>
      <c r="I42" s="33">
        <f t="shared" ca="1" si="158"/>
        <v>0</v>
      </c>
      <c r="J42" s="33">
        <f t="shared" ca="1" si="158"/>
        <v>0</v>
      </c>
      <c r="K42" s="33">
        <f t="shared" ca="1" si="158"/>
        <v>0</v>
      </c>
      <c r="L42" s="33">
        <f t="shared" ca="1" si="158"/>
        <v>0</v>
      </c>
      <c r="M42" s="33">
        <f t="shared" ca="1" si="158"/>
        <v>0</v>
      </c>
      <c r="N42" s="33" t="str">
        <f t="shared" si="158"/>
        <v xml:space="preserve"> </v>
      </c>
      <c r="O42" s="33">
        <f t="shared" ca="1" si="158"/>
        <v>0</v>
      </c>
      <c r="P42" s="33">
        <f t="shared" ca="1" si="158"/>
        <v>0</v>
      </c>
      <c r="Q42" s="33">
        <f t="shared" ca="1" si="158"/>
        <v>0</v>
      </c>
      <c r="R42" s="33">
        <f t="shared" ca="1" si="158"/>
        <v>0</v>
      </c>
      <c r="S42" s="33">
        <f t="shared" ca="1" si="158"/>
        <v>0</v>
      </c>
      <c r="T42" s="33">
        <f t="shared" ca="1" si="158"/>
        <v>0</v>
      </c>
      <c r="U42" s="33" t="str">
        <f t="shared" si="158"/>
        <v xml:space="preserve"> </v>
      </c>
      <c r="V42" s="33">
        <f t="shared" ca="1" si="158"/>
        <v>0</v>
      </c>
      <c r="W42" s="33">
        <f t="shared" ca="1" si="158"/>
        <v>0</v>
      </c>
      <c r="X42" s="33">
        <f t="shared" ca="1" si="158"/>
        <v>0</v>
      </c>
      <c r="Y42" s="33">
        <f t="shared" ca="1" si="158"/>
        <v>0</v>
      </c>
      <c r="Z42" s="33">
        <f t="shared" ca="1" si="158"/>
        <v>0</v>
      </c>
      <c r="AA42" s="33">
        <f t="shared" ca="1" si="158"/>
        <v>0</v>
      </c>
      <c r="AB42" s="33" t="str">
        <f t="shared" si="158"/>
        <v xml:space="preserve"> </v>
      </c>
      <c r="AC42" s="33">
        <f t="shared" ca="1" si="158"/>
        <v>0</v>
      </c>
      <c r="AD42" s="33">
        <f t="shared" ca="1" si="158"/>
        <v>0</v>
      </c>
      <c r="AE42" s="33">
        <f t="shared" ca="1" si="158"/>
        <v>0</v>
      </c>
      <c r="AF42" s="33">
        <f t="shared" ca="1" si="158"/>
        <v>0</v>
      </c>
      <c r="AG42" s="33">
        <f t="shared" ca="1" si="158"/>
        <v>0</v>
      </c>
      <c r="AH42" s="33">
        <f t="shared" ca="1" si="158"/>
        <v>0</v>
      </c>
      <c r="AI42" s="33" t="str">
        <f t="shared" si="158"/>
        <v xml:space="preserve"> </v>
      </c>
      <c r="AJ42" s="34">
        <f t="shared" ca="1" si="157"/>
        <v>0</v>
      </c>
      <c r="AK42" s="35"/>
      <c r="AL42" s="35"/>
      <c r="AM42" s="35"/>
      <c r="AN42" s="35"/>
      <c r="AO42" s="36" t="s">
        <v>22</v>
      </c>
    </row>
    <row r="43" spans="1:41" ht="15.6" thickBot="1" x14ac:dyDescent="0.35">
      <c r="A43" s="14"/>
      <c r="B43" s="15" t="s">
        <v>22</v>
      </c>
      <c r="C43" s="47" t="s">
        <v>22</v>
      </c>
      <c r="D43" s="37" t="s">
        <v>66</v>
      </c>
      <c r="E43" s="9">
        <f t="shared" ref="E43:T43" ca="1" si="159">IF(OR(E$5="",E$5=0),-2,IF(E$6=$D44,-1,RAND()))</f>
        <v>0.59540866441615803</v>
      </c>
      <c r="F43" s="9">
        <f t="shared" ca="1" si="159"/>
        <v>0.83989813084457188</v>
      </c>
      <c r="G43" s="9">
        <f t="shared" ca="1" si="159"/>
        <v>0.86127405303623461</v>
      </c>
      <c r="H43" s="9">
        <f t="shared" ca="1" si="159"/>
        <v>0.13166431568940618</v>
      </c>
      <c r="I43" s="9">
        <f t="shared" ca="1" si="159"/>
        <v>-1</v>
      </c>
      <c r="J43" s="9">
        <f t="shared" ca="1" si="159"/>
        <v>0.28809524108618434</v>
      </c>
      <c r="K43" s="9">
        <f t="shared" ca="1" si="159"/>
        <v>0.85647419441096395</v>
      </c>
      <c r="L43" s="9">
        <f t="shared" ca="1" si="159"/>
        <v>9.74740787555467E-2</v>
      </c>
      <c r="M43" s="9">
        <f t="shared" ca="1" si="159"/>
        <v>0.83220535301679244</v>
      </c>
      <c r="N43" s="9">
        <f t="shared" ca="1" si="159"/>
        <v>0.68410598538998213</v>
      </c>
      <c r="O43" s="9">
        <f t="shared" ca="1" si="159"/>
        <v>0.91643090314796138</v>
      </c>
      <c r="P43" s="9">
        <f t="shared" ca="1" si="159"/>
        <v>-1</v>
      </c>
      <c r="Q43" s="9">
        <f t="shared" ca="1" si="159"/>
        <v>0.36395483173167043</v>
      </c>
      <c r="R43" s="9">
        <f t="shared" ca="1" si="159"/>
        <v>0.27781240241307525</v>
      </c>
      <c r="S43" s="9">
        <f t="shared" ca="1" si="159"/>
        <v>0.39106720992283994</v>
      </c>
      <c r="T43" s="9">
        <f t="shared" ca="1" si="159"/>
        <v>0.91365885603503583</v>
      </c>
      <c r="U43" s="9">
        <f t="shared" ref="U43:AI43" ca="1" si="160">IF(OR(U$5="",U$5=0),-2,IF(U$6=$D44,-1,RAND()))</f>
        <v>0.37126410007011745</v>
      </c>
      <c r="V43" s="9">
        <f t="shared" ca="1" si="160"/>
        <v>0.88802084778181745</v>
      </c>
      <c r="W43" s="9">
        <f t="shared" ca="1" si="160"/>
        <v>-1</v>
      </c>
      <c r="X43" s="9">
        <f t="shared" ca="1" si="160"/>
        <v>0.40028508185691569</v>
      </c>
      <c r="Y43" s="9">
        <f t="shared" ca="1" si="160"/>
        <v>0.71593760017714381</v>
      </c>
      <c r="Z43" s="9">
        <f t="shared" ca="1" si="160"/>
        <v>0.66727223067432662</v>
      </c>
      <c r="AA43" s="9">
        <f t="shared" ca="1" si="160"/>
        <v>0.70023990870127373</v>
      </c>
      <c r="AB43" s="9">
        <f t="shared" ca="1" si="160"/>
        <v>0.40316570049836187</v>
      </c>
      <c r="AC43" s="9">
        <f t="shared" ca="1" si="160"/>
        <v>0.48049327911099027</v>
      </c>
      <c r="AD43" s="9">
        <f t="shared" ca="1" si="160"/>
        <v>-1</v>
      </c>
      <c r="AE43" s="9">
        <f t="shared" ca="1" si="160"/>
        <v>0.19576020138386685</v>
      </c>
      <c r="AF43" s="9">
        <f t="shared" ca="1" si="160"/>
        <v>0.79508090233420281</v>
      </c>
      <c r="AG43" s="9">
        <f t="shared" ca="1" si="160"/>
        <v>0.10900759834799756</v>
      </c>
      <c r="AH43" s="9">
        <f t="shared" ca="1" si="160"/>
        <v>0.92382466413718922</v>
      </c>
      <c r="AI43" s="9">
        <f t="shared" ca="1" si="160"/>
        <v>0.54570604863266847</v>
      </c>
      <c r="AJ43" s="38"/>
      <c r="AK43" s="37"/>
      <c r="AL43" s="37"/>
      <c r="AM43" s="37"/>
      <c r="AN43" s="37"/>
      <c r="AO43" s="39" t="s">
        <v>22</v>
      </c>
    </row>
    <row r="44" spans="1:41" ht="15.6" thickBot="1" x14ac:dyDescent="0.35">
      <c r="A44" s="42"/>
      <c r="B44" s="44" t="s">
        <v>26</v>
      </c>
      <c r="C44" s="43" t="s">
        <v>48</v>
      </c>
      <c r="D44" s="37" t="s">
        <v>70</v>
      </c>
      <c r="E44" s="9" t="str">
        <f t="shared" ref="E44" ca="1" si="161">IF(OR(E$5="",E$5=0),"",IF(E$6=$D44,"W",IF(_xlfn.RANK.EQ(E43,$E43:$AI43,0)&lt;=INT($AO44),"P",IF(AND(_xlfn.RANK.EQ(E43,$E43:$AI43,0)=INT($AO44)+1,MOD($AO44,1)=0.5),"H","A"))))</f>
        <v>P</v>
      </c>
      <c r="F44" s="9" t="str">
        <f t="shared" ref="F44" ca="1" si="162">IF(OR(F$5="",F$5=0),"",IF(F$6=$D44,"W",IF(_xlfn.RANK.EQ(F43,$E43:$AI43,0)&lt;=INT($AO44),"P",IF(AND(_xlfn.RANK.EQ(F43,$E43:$AI43,0)=INT($AO44)+1,MOD($AO44,1)=0.5),"H","A"))))</f>
        <v>P</v>
      </c>
      <c r="G44" s="9" t="str">
        <f t="shared" ref="G44" ca="1" si="163">IF(OR(G$5="",G$5=0),"",IF(G$6=$D44,"W",IF(_xlfn.RANK.EQ(G43,$E43:$AI43,0)&lt;=INT($AO44),"P",IF(AND(_xlfn.RANK.EQ(G43,$E43:$AI43,0)=INT($AO44)+1,MOD($AO44,1)=0.5),"H","A"))))</f>
        <v>P</v>
      </c>
      <c r="H44" s="9" t="str">
        <f t="shared" ref="H44" ca="1" si="164">IF(OR(H$5="",H$5=0),"",IF(H$6=$D44,"W",IF(_xlfn.RANK.EQ(H43,$E43:$AI43,0)&lt;=INT($AO44),"P",IF(AND(_xlfn.RANK.EQ(H43,$E43:$AI43,0)=INT($AO44)+1,MOD($AO44,1)=0.5),"H","A"))))</f>
        <v>P</v>
      </c>
      <c r="I44" s="9" t="str">
        <f t="shared" ref="I44" si="165">IF(OR(I$5="",I$5=0),"",IF(I$6=$D44,"W",IF(_xlfn.RANK.EQ(I43,$E43:$AI43,0)&lt;=INT($AO44),"P",IF(AND(_xlfn.RANK.EQ(I43,$E43:$AI43,0)=INT($AO44)+1,MOD($AO44,1)=0.5),"H","A"))))</f>
        <v>W</v>
      </c>
      <c r="J44" s="9" t="str">
        <f t="shared" ref="J44" ca="1" si="166">IF(OR(J$5="",J$5=0),"",IF(J$6=$D44,"W",IF(_xlfn.RANK.EQ(J43,$E43:$AI43,0)&lt;=INT($AO44),"P",IF(AND(_xlfn.RANK.EQ(J43,$E43:$AI43,0)=INT($AO44)+1,MOD($AO44,1)=0.5),"H","A"))))</f>
        <v>P</v>
      </c>
      <c r="K44" s="9" t="str">
        <f t="shared" ref="K44" ca="1" si="167">IF(OR(K$5="",K$5=0),"",IF(K$6=$D44,"W",IF(_xlfn.RANK.EQ(K43,$E43:$AI43,0)&lt;=INT($AO44),"P",IF(AND(_xlfn.RANK.EQ(K43,$E43:$AI43,0)=INT($AO44)+1,MOD($AO44,1)=0.5),"H","A"))))</f>
        <v>P</v>
      </c>
      <c r="L44" s="9" t="str">
        <f t="shared" ref="L44" ca="1" si="168">IF(OR(L$5="",L$5=0),"",IF(L$6=$D44,"W",IF(_xlfn.RANK.EQ(L43,$E43:$AI43,0)&lt;=INT($AO44),"P",IF(AND(_xlfn.RANK.EQ(L43,$E43:$AI43,0)=INT($AO44)+1,MOD($AO44,1)=0.5),"H","A"))))</f>
        <v>A</v>
      </c>
      <c r="M44" s="9" t="str">
        <f t="shared" ref="M44" ca="1" si="169">IF(OR(M$5="",M$5=0),"",IF(M$6=$D44,"W",IF(_xlfn.RANK.EQ(M43,$E43:$AI43,0)&lt;=INT($AO44),"P",IF(AND(_xlfn.RANK.EQ(M43,$E43:$AI43,0)=INT($AO44)+1,MOD($AO44,1)=0.5),"H","A"))))</f>
        <v>P</v>
      </c>
      <c r="N44" s="9" t="str">
        <f t="shared" ref="N44" ca="1" si="170">IF(OR(N$5="",N$5=0),"",IF(N$6=$D44,"W",IF(_xlfn.RANK.EQ(N43,$E43:$AI43,0)&lt;=INT($AO44),"P",IF(AND(_xlfn.RANK.EQ(N43,$E43:$AI43,0)=INT($AO44)+1,MOD($AO44,1)=0.5),"H","A"))))</f>
        <v>P</v>
      </c>
      <c r="O44" s="9" t="str">
        <f t="shared" ref="O44" ca="1" si="171">IF(OR(O$5="",O$5=0),"",IF(O$6=$D44,"W",IF(_xlfn.RANK.EQ(O43,$E43:$AI43,0)&lt;=INT($AO44),"P",IF(AND(_xlfn.RANK.EQ(O43,$E43:$AI43,0)=INT($AO44)+1,MOD($AO44,1)=0.5),"H","A"))))</f>
        <v>P</v>
      </c>
      <c r="P44" s="9" t="str">
        <f t="shared" ref="P44" si="172">IF(OR(P$5="",P$5=0),"",IF(P$6=$D44,"W",IF(_xlfn.RANK.EQ(P43,$E43:$AI43,0)&lt;=INT($AO44),"P",IF(AND(_xlfn.RANK.EQ(P43,$E43:$AI43,0)=INT($AO44)+1,MOD($AO44,1)=0.5),"H","A"))))</f>
        <v>W</v>
      </c>
      <c r="Q44" s="9" t="str">
        <f t="shared" ref="Q44" ca="1" si="173">IF(OR(Q$5="",Q$5=0),"",IF(Q$6=$D44,"W",IF(_xlfn.RANK.EQ(Q43,$E43:$AI43,0)&lt;=INT($AO44),"P",IF(AND(_xlfn.RANK.EQ(Q43,$E43:$AI43,0)=INT($AO44)+1,MOD($AO44,1)=0.5),"H","A"))))</f>
        <v>P</v>
      </c>
      <c r="R44" s="9" t="str">
        <f t="shared" ref="R44" ca="1" si="174">IF(OR(R$5="",R$5=0),"",IF(R$6=$D44,"W",IF(_xlfn.RANK.EQ(R43,$E43:$AI43,0)&lt;=INT($AO44),"P",IF(AND(_xlfn.RANK.EQ(R43,$E43:$AI43,0)=INT($AO44)+1,MOD($AO44,1)=0.5),"H","A"))))</f>
        <v>P</v>
      </c>
      <c r="S44" s="9" t="str">
        <f t="shared" ref="S44" ca="1" si="175">IF(OR(S$5="",S$5=0),"",IF(S$6=$D44,"W",IF(_xlfn.RANK.EQ(S43,$E43:$AI43,0)&lt;=INT($AO44),"P",IF(AND(_xlfn.RANK.EQ(S43,$E43:$AI43,0)=INT($AO44)+1,MOD($AO44,1)=0.5),"H","A"))))</f>
        <v>P</v>
      </c>
      <c r="T44" s="9" t="str">
        <f t="shared" ref="T44" ca="1" si="176">IF(OR(T$5="",T$5=0),"",IF(T$6=$D44,"W",IF(_xlfn.RANK.EQ(T43,$E43:$AI43,0)&lt;=INT($AO44),"P",IF(AND(_xlfn.RANK.EQ(T43,$E43:$AI43,0)=INT($AO44)+1,MOD($AO44,1)=0.5),"H","A"))))</f>
        <v>P</v>
      </c>
      <c r="U44" s="9" t="str">
        <f t="shared" ref="U44" ca="1" si="177">IF(OR(U$5="",U$5=0),"",IF(U$6=$D44,"W",IF(_xlfn.RANK.EQ(U43,$E43:$AI43,0)&lt;=INT($AO44),"P",IF(AND(_xlfn.RANK.EQ(U43,$E43:$AI43,0)=INT($AO44)+1,MOD($AO44,1)=0.5),"H","A"))))</f>
        <v>P</v>
      </c>
      <c r="V44" s="9" t="str">
        <f t="shared" ref="V44" ca="1" si="178">IF(OR(V$5="",V$5=0),"",IF(V$6=$D44,"W",IF(_xlfn.RANK.EQ(V43,$E43:$AI43,0)&lt;=INT($AO44),"P",IF(AND(_xlfn.RANK.EQ(V43,$E43:$AI43,0)=INT($AO44)+1,MOD($AO44,1)=0.5),"H","A"))))</f>
        <v>P</v>
      </c>
      <c r="W44" s="9" t="str">
        <f t="shared" ref="W44" si="179">IF(OR(W$5="",W$5=0),"",IF(W$6=$D44,"W",IF(_xlfn.RANK.EQ(W43,$E43:$AI43,0)&lt;=INT($AO44),"P",IF(AND(_xlfn.RANK.EQ(W43,$E43:$AI43,0)=INT($AO44)+1,MOD($AO44,1)=0.5),"H","A"))))</f>
        <v>W</v>
      </c>
      <c r="X44" s="9" t="str">
        <f t="shared" ref="X44" ca="1" si="180">IF(OR(X$5="",X$5=0),"",IF(X$6=$D44,"W",IF(_xlfn.RANK.EQ(X43,$E43:$AI43,0)&lt;=INT($AO44),"P",IF(AND(_xlfn.RANK.EQ(X43,$E43:$AI43,0)=INT($AO44)+1,MOD($AO44,1)=0.5),"H","A"))))</f>
        <v>P</v>
      </c>
      <c r="Y44" s="9" t="str">
        <f t="shared" ref="Y44" ca="1" si="181">IF(OR(Y$5="",Y$5=0),"",IF(Y$6=$D44,"W",IF(_xlfn.RANK.EQ(Y43,$E43:$AI43,0)&lt;=INT($AO44),"P",IF(AND(_xlfn.RANK.EQ(Y43,$E43:$AI43,0)=INT($AO44)+1,MOD($AO44,1)=0.5),"H","A"))))</f>
        <v>P</v>
      </c>
      <c r="Z44" s="9" t="str">
        <f t="shared" ref="Z44" ca="1" si="182">IF(OR(Z$5="",Z$5=0),"",IF(Z$6=$D44,"W",IF(_xlfn.RANK.EQ(Z43,$E43:$AI43,0)&lt;=INT($AO44),"P",IF(AND(_xlfn.RANK.EQ(Z43,$E43:$AI43,0)=INT($AO44)+1,MOD($AO44,1)=0.5),"H","A"))))</f>
        <v>P</v>
      </c>
      <c r="AA44" s="9" t="str">
        <f t="shared" ref="AA44" ca="1" si="183">IF(OR(AA$5="",AA$5=0),"",IF(AA$6=$D44,"W",IF(_xlfn.RANK.EQ(AA43,$E43:$AI43,0)&lt;=INT($AO44),"P",IF(AND(_xlfn.RANK.EQ(AA43,$E43:$AI43,0)=INT($AO44)+1,MOD($AO44,1)=0.5),"H","A"))))</f>
        <v>P</v>
      </c>
      <c r="AB44" s="9" t="str">
        <f t="shared" ref="AB44" ca="1" si="184">IF(OR(AB$5="",AB$5=0),"",IF(AB$6=$D44,"W",IF(_xlfn.RANK.EQ(AB43,$E43:$AI43,0)&lt;=INT($AO44),"P",IF(AND(_xlfn.RANK.EQ(AB43,$E43:$AI43,0)=INT($AO44)+1,MOD($AO44,1)=0.5),"H","A"))))</f>
        <v>P</v>
      </c>
      <c r="AC44" s="9" t="str">
        <f t="shared" ref="AC44" ca="1" si="185">IF(OR(AC$5="",AC$5=0),"",IF(AC$6=$D44,"W",IF(_xlfn.RANK.EQ(AC43,$E43:$AI43,0)&lt;=INT($AO44),"P",IF(AND(_xlfn.RANK.EQ(AC43,$E43:$AI43,0)=INT($AO44)+1,MOD($AO44,1)=0.5),"H","A"))))</f>
        <v>P</v>
      </c>
      <c r="AD44" s="9" t="str">
        <f t="shared" ref="AD44" si="186">IF(OR(AD$5="",AD$5=0),"",IF(AD$6=$D44,"W",IF(_xlfn.RANK.EQ(AD43,$E43:$AI43,0)&lt;=INT($AO44),"P",IF(AND(_xlfn.RANK.EQ(AD43,$E43:$AI43,0)=INT($AO44)+1,MOD($AO44,1)=0.5),"H","A"))))</f>
        <v>W</v>
      </c>
      <c r="AE44" s="9" t="str">
        <f t="shared" ref="AE44" ca="1" si="187">IF(OR(AE$5="",AE$5=0),"",IF(AE$6=$D44,"W",IF(_xlfn.RANK.EQ(AE43,$E43:$AI43,0)&lt;=INT($AO44),"P",IF(AND(_xlfn.RANK.EQ(AE43,$E43:$AI43,0)=INT($AO44)+1,MOD($AO44,1)=0.5),"H","A"))))</f>
        <v>P</v>
      </c>
      <c r="AF44" s="9" t="str">
        <f t="shared" ref="AF44" ca="1" si="188">IF(OR(AF$5="",AF$5=0),"",IF(AF$6=$D44,"W",IF(_xlfn.RANK.EQ(AF43,$E43:$AI43,0)&lt;=INT($AO44),"P",IF(AND(_xlfn.RANK.EQ(AF43,$E43:$AI43,0)=INT($AO44)+1,MOD($AO44,1)=0.5),"H","A"))))</f>
        <v>P</v>
      </c>
      <c r="AG44" s="9" t="str">
        <f t="shared" ref="AG44" ca="1" si="189">IF(OR(AG$5="",AG$5=0),"",IF(AG$6=$D44,"W",IF(_xlfn.RANK.EQ(AG43,$E43:$AI43,0)&lt;=INT($AO44),"P",IF(AND(_xlfn.RANK.EQ(AG43,$E43:$AI43,0)=INT($AO44)+1,MOD($AO44,1)=0.5),"H","A"))))</f>
        <v>P</v>
      </c>
      <c r="AH44" s="9" t="str">
        <f t="shared" ref="AH44" ca="1" si="190">IF(OR(AH$5="",AH$5=0),"",IF(AH$6=$D44,"W",IF(_xlfn.RANK.EQ(AH43,$E43:$AI43,0)&lt;=INT($AO44),"P",IF(AND(_xlfn.RANK.EQ(AH43,$E43:$AI43,0)=INT($AO44)+1,MOD($AO44,1)=0.5),"H","A"))))</f>
        <v>P</v>
      </c>
      <c r="AI44" s="9" t="str">
        <f t="shared" ref="AI44" ca="1" si="191">IF(OR(AI$5="",AI$5=0),"",IF(AI$6=$D44,"W",IF(_xlfn.RANK.EQ(AI43,$E43:$AI43,0)&lt;=INT($AO44),"P",IF(AND(_xlfn.RANK.EQ(AI43,$E43:$AI43,0)=INT($AO44)+1,MOD($AO44,1)=0.5),"H","A"))))</f>
        <v>P</v>
      </c>
      <c r="AJ44" s="16">
        <f t="shared" ref="AJ44" ca="1" si="192">COUNTIF(E44:AI44, "P")</f>
        <v>26</v>
      </c>
      <c r="AK44" s="17">
        <f t="shared" ref="AK44" ca="1" si="193">COUNTIF(E44:AH44, "A")</f>
        <v>1</v>
      </c>
      <c r="AL44" s="17">
        <f t="shared" ref="AL44" ca="1" si="194">COUNTIF(E44:AH44, "W")</f>
        <v>4</v>
      </c>
      <c r="AM44" s="17">
        <f t="shared" ref="AM44" ca="1" si="195">COUNTIF(E44:AH44, "H")</f>
        <v>0</v>
      </c>
      <c r="AN44" s="17">
        <f t="shared" ref="AN44" ca="1" si="196">COUNTIF(E44:AH44, "PL")</f>
        <v>0</v>
      </c>
      <c r="AO44" s="18">
        <v>26</v>
      </c>
    </row>
    <row r="45" spans="1:41" ht="15" x14ac:dyDescent="0.3">
      <c r="A45" s="19"/>
      <c r="B45" s="1" t="s">
        <v>22</v>
      </c>
      <c r="C45" s="48" t="s">
        <v>22</v>
      </c>
      <c r="D45" s="45" t="s">
        <v>1</v>
      </c>
      <c r="E45" s="20" t="str">
        <f t="shared" ref="E45:AH45" ca="1" si="197">IF(E44="P", IF($D43="G", TEXT(RAND()*(9.27-9.62)/24+9.62/24,"HH:MM"), IF($D43="A", TEXT(RAND()*(8.06-8.1)/24+8.15/24,"HH:MM"), IF($D43="B", TEXT(RAND()*(16.06-16.1)/24+16.15/24,"HH:MM"), IF($D43="C", TEXT(RAND()*(24.85-24.13)/24+24.13/24,"HH:MM"), " ")))), "")</f>
        <v>00:43</v>
      </c>
      <c r="F45" s="20" t="str">
        <f t="shared" ca="1" si="197"/>
        <v>00:08</v>
      </c>
      <c r="G45" s="20" t="str">
        <f t="shared" ca="1" si="197"/>
        <v>00:21</v>
      </c>
      <c r="H45" s="20" t="str">
        <f t="shared" ca="1" si="197"/>
        <v>00:09</v>
      </c>
      <c r="I45" s="20" t="str">
        <f t="shared" ca="1" si="197"/>
        <v/>
      </c>
      <c r="J45" s="20" t="str">
        <f t="shared" ca="1" si="197"/>
        <v>00:48</v>
      </c>
      <c r="K45" s="20" t="str">
        <f t="shared" ca="1" si="197"/>
        <v>00:42</v>
      </c>
      <c r="L45" s="20" t="str">
        <f t="shared" ca="1" si="197"/>
        <v/>
      </c>
      <c r="M45" s="20" t="str">
        <f t="shared" ca="1" si="197"/>
        <v>00:23</v>
      </c>
      <c r="N45" s="20" t="str">
        <f t="shared" ca="1" si="197"/>
        <v>00:36</v>
      </c>
      <c r="O45" s="20" t="str">
        <f t="shared" ca="1" si="197"/>
        <v>00:44</v>
      </c>
      <c r="P45" s="20" t="str">
        <f t="shared" ca="1" si="197"/>
        <v/>
      </c>
      <c r="Q45" s="20" t="str">
        <f t="shared" ca="1" si="197"/>
        <v>00:41</v>
      </c>
      <c r="R45" s="20" t="str">
        <f t="shared" ca="1" si="197"/>
        <v>00:47</v>
      </c>
      <c r="S45" s="20" t="str">
        <f t="shared" ca="1" si="197"/>
        <v>00:39</v>
      </c>
      <c r="T45" s="20" t="str">
        <f t="shared" ca="1" si="197"/>
        <v>00:22</v>
      </c>
      <c r="U45" s="20" t="str">
        <f t="shared" ca="1" si="197"/>
        <v>00:14</v>
      </c>
      <c r="V45" s="20" t="str">
        <f t="shared" ca="1" si="197"/>
        <v>00:11</v>
      </c>
      <c r="W45" s="20" t="str">
        <f t="shared" ca="1" si="197"/>
        <v/>
      </c>
      <c r="X45" s="20" t="str">
        <f t="shared" ca="1" si="197"/>
        <v>00:24</v>
      </c>
      <c r="Y45" s="20" t="str">
        <f t="shared" ca="1" si="197"/>
        <v>00:15</v>
      </c>
      <c r="Z45" s="20" t="str">
        <f t="shared" ca="1" si="197"/>
        <v>00:31</v>
      </c>
      <c r="AA45" s="20" t="str">
        <f t="shared" ca="1" si="197"/>
        <v>00:49</v>
      </c>
      <c r="AB45" s="20" t="str">
        <f t="shared" ca="1" si="197"/>
        <v>00:37</v>
      </c>
      <c r="AC45" s="20" t="str">
        <f t="shared" ca="1" si="197"/>
        <v>00:18</v>
      </c>
      <c r="AD45" s="20" t="str">
        <f t="shared" ca="1" si="197"/>
        <v/>
      </c>
      <c r="AE45" s="20" t="str">
        <f t="shared" ca="1" si="197"/>
        <v>00:24</v>
      </c>
      <c r="AF45" s="20" t="str">
        <f t="shared" ca="1" si="197"/>
        <v>00:26</v>
      </c>
      <c r="AG45" s="20" t="str">
        <f t="shared" ca="1" si="197"/>
        <v>00:40</v>
      </c>
      <c r="AH45" s="20" t="str">
        <f t="shared" ca="1" si="197"/>
        <v>00:17</v>
      </c>
      <c r="AI45" s="20" t="str">
        <f t="shared" ca="1" si="150"/>
        <v>00:37</v>
      </c>
      <c r="AJ45" s="21"/>
      <c r="AK45" s="22"/>
      <c r="AL45" s="22"/>
      <c r="AM45" s="22"/>
      <c r="AN45" s="22"/>
      <c r="AO45" s="23" t="s">
        <v>22</v>
      </c>
    </row>
    <row r="46" spans="1:41" ht="15" x14ac:dyDescent="0.3">
      <c r="A46" s="19"/>
      <c r="B46" s="1" t="s">
        <v>22</v>
      </c>
      <c r="C46" s="48" t="s">
        <v>22</v>
      </c>
      <c r="D46" s="45" t="s">
        <v>2</v>
      </c>
      <c r="E46" s="20" t="str">
        <f t="shared" ref="E46:AH46" ca="1" si="198">IF(E44="P", IF($D43="G", TEXT(RAND()*(18.85-18.13)/24+18.13/24,"HH:MM"), IF($D43="A", TEXT(RAND()*(16.85-16.13)/24+16.13/24,"HH:MM"), IF($D43="B", TEXT(RAND()*(24.85-24.13)/24+24.13/24,"HH:MM"), IF($D43="C", TEXT(RAND()*(8.85-8.13)/24+8.13/24,"HH:MM"), " ")))), "")</f>
        <v>08:10</v>
      </c>
      <c r="F46" s="20" t="str">
        <f t="shared" ca="1" si="198"/>
        <v>08:32</v>
      </c>
      <c r="G46" s="20" t="str">
        <f t="shared" ca="1" si="198"/>
        <v>08:50</v>
      </c>
      <c r="H46" s="20" t="str">
        <f t="shared" ca="1" si="198"/>
        <v>08:26</v>
      </c>
      <c r="I46" s="20" t="str">
        <f t="shared" ca="1" si="198"/>
        <v/>
      </c>
      <c r="J46" s="20" t="str">
        <f t="shared" ca="1" si="198"/>
        <v>08:41</v>
      </c>
      <c r="K46" s="20" t="str">
        <f t="shared" ca="1" si="198"/>
        <v>08:41</v>
      </c>
      <c r="L46" s="20" t="str">
        <f t="shared" ca="1" si="198"/>
        <v/>
      </c>
      <c r="M46" s="20" t="str">
        <f t="shared" ca="1" si="198"/>
        <v>08:46</v>
      </c>
      <c r="N46" s="20" t="str">
        <f t="shared" ca="1" si="198"/>
        <v>08:12</v>
      </c>
      <c r="O46" s="20" t="str">
        <f t="shared" ca="1" si="198"/>
        <v>08:33</v>
      </c>
      <c r="P46" s="20" t="str">
        <f t="shared" ca="1" si="198"/>
        <v/>
      </c>
      <c r="Q46" s="20" t="str">
        <f t="shared" ca="1" si="198"/>
        <v>08:24</v>
      </c>
      <c r="R46" s="20" t="str">
        <f t="shared" ca="1" si="198"/>
        <v>08:45</v>
      </c>
      <c r="S46" s="20" t="str">
        <f t="shared" ca="1" si="198"/>
        <v>08:34</v>
      </c>
      <c r="T46" s="20" t="str">
        <f t="shared" ca="1" si="198"/>
        <v>08:20</v>
      </c>
      <c r="U46" s="20" t="str">
        <f t="shared" ca="1" si="198"/>
        <v>08:39</v>
      </c>
      <c r="V46" s="20" t="str">
        <f t="shared" ca="1" si="198"/>
        <v>08:26</v>
      </c>
      <c r="W46" s="20" t="str">
        <f t="shared" ca="1" si="198"/>
        <v/>
      </c>
      <c r="X46" s="20" t="str">
        <f t="shared" ca="1" si="198"/>
        <v>08:19</v>
      </c>
      <c r="Y46" s="20" t="str">
        <f t="shared" ca="1" si="198"/>
        <v>08:09</v>
      </c>
      <c r="Z46" s="20" t="str">
        <f t="shared" ca="1" si="198"/>
        <v>08:47</v>
      </c>
      <c r="AA46" s="20" t="str">
        <f t="shared" ca="1" si="198"/>
        <v>08:49</v>
      </c>
      <c r="AB46" s="20" t="str">
        <f t="shared" ca="1" si="198"/>
        <v>08:14</v>
      </c>
      <c r="AC46" s="20" t="str">
        <f t="shared" ca="1" si="198"/>
        <v>08:22</v>
      </c>
      <c r="AD46" s="20" t="str">
        <f t="shared" ca="1" si="198"/>
        <v/>
      </c>
      <c r="AE46" s="20" t="str">
        <f t="shared" ca="1" si="198"/>
        <v>08:32</v>
      </c>
      <c r="AF46" s="20" t="str">
        <f t="shared" ca="1" si="198"/>
        <v>08:17</v>
      </c>
      <c r="AG46" s="20" t="str">
        <f t="shared" ca="1" si="198"/>
        <v>08:25</v>
      </c>
      <c r="AH46" s="20" t="str">
        <f t="shared" ca="1" si="198"/>
        <v>08:41</v>
      </c>
      <c r="AI46" s="20" t="str">
        <f t="shared" ca="1" si="151"/>
        <v>08:48</v>
      </c>
      <c r="AJ46" s="24" t="s">
        <v>13</v>
      </c>
      <c r="AK46" s="25"/>
      <c r="AL46" s="25"/>
      <c r="AM46" s="25"/>
      <c r="AN46" s="25"/>
      <c r="AO46" s="23" t="s">
        <v>22</v>
      </c>
    </row>
    <row r="47" spans="1:41" ht="15" x14ac:dyDescent="0.3">
      <c r="A47" s="26"/>
      <c r="B47" s="1" t="s">
        <v>22</v>
      </c>
      <c r="C47" s="48" t="s">
        <v>22</v>
      </c>
      <c r="D47" s="45" t="s">
        <v>14</v>
      </c>
      <c r="E47" s="27">
        <f t="shared" ref="E47:AH47" ca="1" si="199">IF(E44="P", MOD(E46-E45, 1), " ")</f>
        <v>0.31041666666666667</v>
      </c>
      <c r="F47" s="27">
        <f t="shared" ca="1" si="199"/>
        <v>0.35000000000000003</v>
      </c>
      <c r="G47" s="27">
        <f t="shared" ca="1" si="199"/>
        <v>0.35347222222222224</v>
      </c>
      <c r="H47" s="27">
        <f t="shared" ca="1" si="199"/>
        <v>0.34513888888888888</v>
      </c>
      <c r="I47" s="27" t="str">
        <f t="shared" si="199"/>
        <v xml:space="preserve"> </v>
      </c>
      <c r="J47" s="27">
        <f t="shared" ca="1" si="199"/>
        <v>0.32847222222222222</v>
      </c>
      <c r="K47" s="27">
        <f t="shared" ca="1" si="199"/>
        <v>0.33263888888888887</v>
      </c>
      <c r="L47" s="27" t="str">
        <f t="shared" ca="1" si="199"/>
        <v xml:space="preserve"> </v>
      </c>
      <c r="M47" s="27">
        <f t="shared" ca="1" si="199"/>
        <v>0.34930555555555554</v>
      </c>
      <c r="N47" s="27">
        <f t="shared" ca="1" si="199"/>
        <v>0.31666666666666665</v>
      </c>
      <c r="O47" s="27">
        <f t="shared" ca="1" si="199"/>
        <v>0.32569444444444445</v>
      </c>
      <c r="P47" s="27" t="str">
        <f t="shared" si="199"/>
        <v xml:space="preserve"> </v>
      </c>
      <c r="Q47" s="27">
        <f t="shared" ca="1" si="199"/>
        <v>0.32152777777777775</v>
      </c>
      <c r="R47" s="27">
        <f t="shared" ca="1" si="199"/>
        <v>0.33194444444444443</v>
      </c>
      <c r="S47" s="27">
        <f t="shared" ca="1" si="199"/>
        <v>0.3298611111111111</v>
      </c>
      <c r="T47" s="27">
        <f t="shared" ca="1" si="199"/>
        <v>0.33194444444444443</v>
      </c>
      <c r="U47" s="27">
        <f t="shared" ca="1" si="199"/>
        <v>0.35069444444444442</v>
      </c>
      <c r="V47" s="27">
        <f t="shared" ca="1" si="199"/>
        <v>0.34375</v>
      </c>
      <c r="W47" s="27" t="str">
        <f t="shared" si="199"/>
        <v xml:space="preserve"> </v>
      </c>
      <c r="X47" s="27">
        <f t="shared" ca="1" si="199"/>
        <v>0.3298611111111111</v>
      </c>
      <c r="Y47" s="27">
        <f t="shared" ca="1" si="199"/>
        <v>0.32916666666666666</v>
      </c>
      <c r="Z47" s="27">
        <f t="shared" ca="1" si="199"/>
        <v>0.34444444444444444</v>
      </c>
      <c r="AA47" s="27">
        <f t="shared" ca="1" si="199"/>
        <v>0.33333333333333337</v>
      </c>
      <c r="AB47" s="27">
        <f t="shared" ca="1" si="199"/>
        <v>0.31736111111111109</v>
      </c>
      <c r="AC47" s="27">
        <f t="shared" ca="1" si="199"/>
        <v>0.33611111111111108</v>
      </c>
      <c r="AD47" s="27" t="str">
        <f t="shared" si="199"/>
        <v xml:space="preserve"> </v>
      </c>
      <c r="AE47" s="27">
        <f t="shared" ca="1" si="199"/>
        <v>0.33888888888888891</v>
      </c>
      <c r="AF47" s="27">
        <f t="shared" ca="1" si="199"/>
        <v>0.32708333333333334</v>
      </c>
      <c r="AG47" s="27">
        <f t="shared" ca="1" si="199"/>
        <v>0.32291666666666663</v>
      </c>
      <c r="AH47" s="27">
        <f t="shared" ca="1" si="199"/>
        <v>0.35</v>
      </c>
      <c r="AI47" s="27">
        <f t="shared" ca="1" si="152"/>
        <v>0.34097222222222218</v>
      </c>
      <c r="AJ47" s="28">
        <f t="shared" ref="AJ47" ca="1" si="200">AJ44*8</f>
        <v>208</v>
      </c>
      <c r="AK47" s="29"/>
      <c r="AL47" s="29"/>
      <c r="AM47" s="29"/>
      <c r="AN47" s="29"/>
      <c r="AO47" s="23" t="s">
        <v>22</v>
      </c>
    </row>
    <row r="48" spans="1:41" ht="15" x14ac:dyDescent="0.3">
      <c r="A48" s="26"/>
      <c r="B48" s="1" t="s">
        <v>22</v>
      </c>
      <c r="C48" s="48" t="s">
        <v>22</v>
      </c>
      <c r="D48" s="45" t="s">
        <v>19</v>
      </c>
      <c r="E48" s="27" t="str">
        <f t="shared" ref="E48:AH48" ca="1" si="201">IF(E44="P","08:00"," ")</f>
        <v>08:00</v>
      </c>
      <c r="F48" s="27" t="str">
        <f t="shared" ca="1" si="201"/>
        <v>08:00</v>
      </c>
      <c r="G48" s="27" t="str">
        <f t="shared" ca="1" si="201"/>
        <v>08:00</v>
      </c>
      <c r="H48" s="27" t="str">
        <f t="shared" ca="1" si="201"/>
        <v>08:00</v>
      </c>
      <c r="I48" s="27" t="str">
        <f t="shared" si="201"/>
        <v xml:space="preserve"> </v>
      </c>
      <c r="J48" s="27" t="str">
        <f t="shared" ca="1" si="201"/>
        <v>08:00</v>
      </c>
      <c r="K48" s="27" t="str">
        <f t="shared" ca="1" si="201"/>
        <v>08:00</v>
      </c>
      <c r="L48" s="27" t="str">
        <f t="shared" ca="1" si="201"/>
        <v xml:space="preserve"> </v>
      </c>
      <c r="M48" s="27" t="str">
        <f t="shared" ca="1" si="201"/>
        <v>08:00</v>
      </c>
      <c r="N48" s="27" t="str">
        <f t="shared" ca="1" si="201"/>
        <v>08:00</v>
      </c>
      <c r="O48" s="27" t="str">
        <f t="shared" ca="1" si="201"/>
        <v>08:00</v>
      </c>
      <c r="P48" s="27" t="str">
        <f t="shared" si="201"/>
        <v xml:space="preserve"> </v>
      </c>
      <c r="Q48" s="27" t="str">
        <f t="shared" ca="1" si="201"/>
        <v>08:00</v>
      </c>
      <c r="R48" s="27" t="str">
        <f t="shared" ca="1" si="201"/>
        <v>08:00</v>
      </c>
      <c r="S48" s="27" t="str">
        <f t="shared" ca="1" si="201"/>
        <v>08:00</v>
      </c>
      <c r="T48" s="27" t="str">
        <f t="shared" ca="1" si="201"/>
        <v>08:00</v>
      </c>
      <c r="U48" s="27" t="str">
        <f t="shared" ca="1" si="201"/>
        <v>08:00</v>
      </c>
      <c r="V48" s="27" t="str">
        <f t="shared" ca="1" si="201"/>
        <v>08:00</v>
      </c>
      <c r="W48" s="27" t="str">
        <f t="shared" si="201"/>
        <v xml:space="preserve"> </v>
      </c>
      <c r="X48" s="27" t="str">
        <f t="shared" ca="1" si="201"/>
        <v>08:00</v>
      </c>
      <c r="Y48" s="27" t="str">
        <f t="shared" ca="1" si="201"/>
        <v>08:00</v>
      </c>
      <c r="Z48" s="27" t="str">
        <f t="shared" ca="1" si="201"/>
        <v>08:00</v>
      </c>
      <c r="AA48" s="27" t="str">
        <f t="shared" ca="1" si="201"/>
        <v>08:00</v>
      </c>
      <c r="AB48" s="27" t="str">
        <f t="shared" ca="1" si="201"/>
        <v>08:00</v>
      </c>
      <c r="AC48" s="27" t="str">
        <f t="shared" ca="1" si="201"/>
        <v>08:00</v>
      </c>
      <c r="AD48" s="27" t="str">
        <f t="shared" si="201"/>
        <v xml:space="preserve"> </v>
      </c>
      <c r="AE48" s="27" t="str">
        <f t="shared" ca="1" si="201"/>
        <v>08:00</v>
      </c>
      <c r="AF48" s="27" t="str">
        <f t="shared" ca="1" si="201"/>
        <v>08:00</v>
      </c>
      <c r="AG48" s="27" t="str">
        <f t="shared" ca="1" si="201"/>
        <v>08:00</v>
      </c>
      <c r="AH48" s="27" t="str">
        <f t="shared" ca="1" si="201"/>
        <v>08:00</v>
      </c>
      <c r="AI48" s="27" t="str">
        <f t="shared" ca="1" si="154"/>
        <v>08:00</v>
      </c>
      <c r="AJ48" s="28"/>
      <c r="AK48" s="29"/>
      <c r="AL48" s="29"/>
      <c r="AM48" s="29"/>
      <c r="AN48" s="29"/>
      <c r="AO48" s="23" t="s">
        <v>22</v>
      </c>
    </row>
    <row r="49" spans="1:41" ht="15" x14ac:dyDescent="0.3">
      <c r="A49" s="26"/>
      <c r="B49" s="1" t="s">
        <v>22</v>
      </c>
      <c r="C49" s="48" t="s">
        <v>22</v>
      </c>
      <c r="D49" s="45" t="s">
        <v>12</v>
      </c>
      <c r="E49" s="27" t="str">
        <f t="shared" ref="E49:AH49" ca="1" si="202">IF(E44="P","01:00"," ")</f>
        <v>01:00</v>
      </c>
      <c r="F49" s="27" t="str">
        <f t="shared" ca="1" si="202"/>
        <v>01:00</v>
      </c>
      <c r="G49" s="27" t="str">
        <f t="shared" ca="1" si="202"/>
        <v>01:00</v>
      </c>
      <c r="H49" s="27" t="str">
        <f t="shared" ca="1" si="202"/>
        <v>01:00</v>
      </c>
      <c r="I49" s="27" t="str">
        <f t="shared" si="202"/>
        <v xml:space="preserve"> </v>
      </c>
      <c r="J49" s="27" t="str">
        <f t="shared" ca="1" si="202"/>
        <v>01:00</v>
      </c>
      <c r="K49" s="27" t="str">
        <f t="shared" ca="1" si="202"/>
        <v>01:00</v>
      </c>
      <c r="L49" s="27" t="str">
        <f t="shared" ca="1" si="202"/>
        <v xml:space="preserve"> </v>
      </c>
      <c r="M49" s="27" t="str">
        <f t="shared" ca="1" si="202"/>
        <v>01:00</v>
      </c>
      <c r="N49" s="27" t="str">
        <f t="shared" ca="1" si="202"/>
        <v>01:00</v>
      </c>
      <c r="O49" s="27" t="str">
        <f t="shared" ca="1" si="202"/>
        <v>01:00</v>
      </c>
      <c r="P49" s="27" t="str">
        <f t="shared" si="202"/>
        <v xml:space="preserve"> </v>
      </c>
      <c r="Q49" s="27" t="str">
        <f t="shared" ca="1" si="202"/>
        <v>01:00</v>
      </c>
      <c r="R49" s="27" t="str">
        <f t="shared" ca="1" si="202"/>
        <v>01:00</v>
      </c>
      <c r="S49" s="27" t="str">
        <f t="shared" ca="1" si="202"/>
        <v>01:00</v>
      </c>
      <c r="T49" s="27" t="str">
        <f t="shared" ca="1" si="202"/>
        <v>01:00</v>
      </c>
      <c r="U49" s="27" t="str">
        <f t="shared" ca="1" si="202"/>
        <v>01:00</v>
      </c>
      <c r="V49" s="27" t="str">
        <f t="shared" ca="1" si="202"/>
        <v>01:00</v>
      </c>
      <c r="W49" s="27" t="str">
        <f t="shared" si="202"/>
        <v xml:space="preserve"> </v>
      </c>
      <c r="X49" s="27" t="str">
        <f t="shared" ca="1" si="202"/>
        <v>01:00</v>
      </c>
      <c r="Y49" s="27" t="str">
        <f t="shared" ca="1" si="202"/>
        <v>01:00</v>
      </c>
      <c r="Z49" s="27" t="str">
        <f t="shared" ca="1" si="202"/>
        <v>01:00</v>
      </c>
      <c r="AA49" s="27" t="str">
        <f t="shared" ca="1" si="202"/>
        <v>01:00</v>
      </c>
      <c r="AB49" s="27" t="str">
        <f t="shared" ca="1" si="202"/>
        <v>01:00</v>
      </c>
      <c r="AC49" s="27" t="str">
        <f t="shared" ca="1" si="202"/>
        <v>01:00</v>
      </c>
      <c r="AD49" s="27" t="str">
        <f t="shared" si="202"/>
        <v xml:space="preserve"> </v>
      </c>
      <c r="AE49" s="27" t="str">
        <f t="shared" ca="1" si="202"/>
        <v>01:00</v>
      </c>
      <c r="AF49" s="27" t="str">
        <f t="shared" ca="1" si="202"/>
        <v>01:00</v>
      </c>
      <c r="AG49" s="27" t="str">
        <f t="shared" ca="1" si="202"/>
        <v>01:00</v>
      </c>
      <c r="AH49" s="27" t="str">
        <f t="shared" ca="1" si="202"/>
        <v>01:00</v>
      </c>
      <c r="AI49" s="27" t="str">
        <f t="shared" ca="1" si="155"/>
        <v>01:00</v>
      </c>
      <c r="AJ49" s="24" t="s">
        <v>11</v>
      </c>
      <c r="AK49" s="25"/>
      <c r="AL49" s="25"/>
      <c r="AM49" s="25"/>
      <c r="AN49" s="25"/>
      <c r="AO49" s="23" t="s">
        <v>22</v>
      </c>
    </row>
    <row r="50" spans="1:41" ht="15" x14ac:dyDescent="0.3">
      <c r="A50" s="26"/>
      <c r="B50" s="1" t="s">
        <v>22</v>
      </c>
      <c r="C50" s="48" t="s">
        <v>22</v>
      </c>
      <c r="D50" s="45" t="s">
        <v>11</v>
      </c>
      <c r="E50" s="27">
        <f t="shared" ref="E50:AH50" ca="1" si="203">IF(E44="P",E47-E49," ")</f>
        <v>0.26874999999999999</v>
      </c>
      <c r="F50" s="27">
        <f t="shared" ca="1" si="203"/>
        <v>0.30833333333333335</v>
      </c>
      <c r="G50" s="27">
        <f t="shared" ca="1" si="203"/>
        <v>0.31180555555555556</v>
      </c>
      <c r="H50" s="27">
        <f t="shared" ca="1" si="203"/>
        <v>0.3034722222222222</v>
      </c>
      <c r="I50" s="27" t="str">
        <f t="shared" si="203"/>
        <v xml:space="preserve"> </v>
      </c>
      <c r="J50" s="27">
        <f t="shared" ca="1" si="203"/>
        <v>0.28680555555555554</v>
      </c>
      <c r="K50" s="27">
        <f t="shared" ca="1" si="203"/>
        <v>0.29097222222222219</v>
      </c>
      <c r="L50" s="27" t="str">
        <f t="shared" ca="1" si="203"/>
        <v xml:space="preserve"> </v>
      </c>
      <c r="M50" s="27">
        <f t="shared" ca="1" si="203"/>
        <v>0.30763888888888885</v>
      </c>
      <c r="N50" s="27">
        <f t="shared" ca="1" si="203"/>
        <v>0.27499999999999997</v>
      </c>
      <c r="O50" s="27">
        <f t="shared" ca="1" si="203"/>
        <v>0.28402777777777777</v>
      </c>
      <c r="P50" s="27" t="str">
        <f t="shared" si="203"/>
        <v xml:space="preserve"> </v>
      </c>
      <c r="Q50" s="27">
        <f t="shared" ca="1" si="203"/>
        <v>0.27986111111111106</v>
      </c>
      <c r="R50" s="27">
        <f t="shared" ca="1" si="203"/>
        <v>0.29027777777777775</v>
      </c>
      <c r="S50" s="27">
        <f t="shared" ca="1" si="203"/>
        <v>0.28819444444444442</v>
      </c>
      <c r="T50" s="27">
        <f t="shared" ca="1" si="203"/>
        <v>0.29027777777777775</v>
      </c>
      <c r="U50" s="27">
        <f t="shared" ca="1" si="203"/>
        <v>0.30902777777777773</v>
      </c>
      <c r="V50" s="27">
        <f t="shared" ca="1" si="203"/>
        <v>0.30208333333333331</v>
      </c>
      <c r="W50" s="27" t="str">
        <f t="shared" si="203"/>
        <v xml:space="preserve"> </v>
      </c>
      <c r="X50" s="27">
        <f t="shared" ca="1" si="203"/>
        <v>0.28819444444444442</v>
      </c>
      <c r="Y50" s="27">
        <f t="shared" ca="1" si="203"/>
        <v>0.28749999999999998</v>
      </c>
      <c r="Z50" s="27">
        <f t="shared" ca="1" si="203"/>
        <v>0.30277777777777776</v>
      </c>
      <c r="AA50" s="27">
        <f t="shared" ca="1" si="203"/>
        <v>0.29166666666666669</v>
      </c>
      <c r="AB50" s="27">
        <f t="shared" ca="1" si="203"/>
        <v>0.27569444444444441</v>
      </c>
      <c r="AC50" s="27">
        <f t="shared" ca="1" si="203"/>
        <v>0.2944444444444444</v>
      </c>
      <c r="AD50" s="27" t="str">
        <f t="shared" si="203"/>
        <v xml:space="preserve"> </v>
      </c>
      <c r="AE50" s="27">
        <f t="shared" ca="1" si="203"/>
        <v>0.29722222222222222</v>
      </c>
      <c r="AF50" s="27">
        <f t="shared" ca="1" si="203"/>
        <v>0.28541666666666665</v>
      </c>
      <c r="AG50" s="27">
        <f t="shared" ca="1" si="203"/>
        <v>0.28124999999999994</v>
      </c>
      <c r="AH50" s="27">
        <f t="shared" ca="1" si="203"/>
        <v>0.30833333333333329</v>
      </c>
      <c r="AI50" s="27">
        <f t="shared" ca="1" si="156"/>
        <v>0.29930555555555549</v>
      </c>
      <c r="AJ50" s="30">
        <f t="shared" ref="AJ50:AJ51" ca="1" si="204">SUM(E50:AH50)</f>
        <v>7.3090277777777777</v>
      </c>
      <c r="AK50" s="25"/>
      <c r="AL50" s="25"/>
      <c r="AM50" s="25"/>
      <c r="AN50" s="25"/>
      <c r="AO50" s="23" t="s">
        <v>22</v>
      </c>
    </row>
    <row r="51" spans="1:41" ht="15.6" thickBot="1" x14ac:dyDescent="0.35">
      <c r="A51" s="31"/>
      <c r="B51" s="32" t="s">
        <v>22</v>
      </c>
      <c r="C51" s="49" t="s">
        <v>22</v>
      </c>
      <c r="D51" s="46" t="s">
        <v>20</v>
      </c>
      <c r="E51" s="33">
        <f t="shared" ref="E51:AH51" ca="1" si="205">IF(E44="P",(IF(E48&gt;E50,0,E50-E48))," ")</f>
        <v>0</v>
      </c>
      <c r="F51" s="33">
        <f t="shared" ca="1" si="205"/>
        <v>0</v>
      </c>
      <c r="G51" s="33">
        <f t="shared" ca="1" si="205"/>
        <v>0</v>
      </c>
      <c r="H51" s="33">
        <f t="shared" ca="1" si="205"/>
        <v>0</v>
      </c>
      <c r="I51" s="33" t="str">
        <f t="shared" si="205"/>
        <v xml:space="preserve"> </v>
      </c>
      <c r="J51" s="33">
        <f t="shared" ca="1" si="205"/>
        <v>0</v>
      </c>
      <c r="K51" s="33">
        <f t="shared" ca="1" si="205"/>
        <v>0</v>
      </c>
      <c r="L51" s="33" t="str">
        <f t="shared" ca="1" si="205"/>
        <v xml:space="preserve"> </v>
      </c>
      <c r="M51" s="33">
        <f t="shared" ca="1" si="205"/>
        <v>0</v>
      </c>
      <c r="N51" s="33">
        <f t="shared" ca="1" si="205"/>
        <v>0</v>
      </c>
      <c r="O51" s="33">
        <f t="shared" ca="1" si="205"/>
        <v>0</v>
      </c>
      <c r="P51" s="33" t="str">
        <f t="shared" si="205"/>
        <v xml:space="preserve"> </v>
      </c>
      <c r="Q51" s="33">
        <f t="shared" ca="1" si="205"/>
        <v>0</v>
      </c>
      <c r="R51" s="33">
        <f t="shared" ca="1" si="205"/>
        <v>0</v>
      </c>
      <c r="S51" s="33">
        <f t="shared" ca="1" si="205"/>
        <v>0</v>
      </c>
      <c r="T51" s="33">
        <f t="shared" ca="1" si="205"/>
        <v>0</v>
      </c>
      <c r="U51" s="33">
        <f t="shared" ca="1" si="205"/>
        <v>0</v>
      </c>
      <c r="V51" s="33">
        <f t="shared" ca="1" si="205"/>
        <v>0</v>
      </c>
      <c r="W51" s="33" t="str">
        <f t="shared" si="205"/>
        <v xml:space="preserve"> </v>
      </c>
      <c r="X51" s="33">
        <f t="shared" ca="1" si="205"/>
        <v>0</v>
      </c>
      <c r="Y51" s="33">
        <f t="shared" ca="1" si="205"/>
        <v>0</v>
      </c>
      <c r="Z51" s="33">
        <f t="shared" ca="1" si="205"/>
        <v>0</v>
      </c>
      <c r="AA51" s="33">
        <f t="shared" ca="1" si="205"/>
        <v>0</v>
      </c>
      <c r="AB51" s="33">
        <f t="shared" ca="1" si="205"/>
        <v>0</v>
      </c>
      <c r="AC51" s="33">
        <f t="shared" ca="1" si="205"/>
        <v>0</v>
      </c>
      <c r="AD51" s="33" t="str">
        <f t="shared" si="205"/>
        <v xml:space="preserve"> </v>
      </c>
      <c r="AE51" s="33">
        <f t="shared" ca="1" si="205"/>
        <v>0</v>
      </c>
      <c r="AF51" s="33">
        <f t="shared" ca="1" si="205"/>
        <v>0</v>
      </c>
      <c r="AG51" s="33">
        <f t="shared" ca="1" si="205"/>
        <v>0</v>
      </c>
      <c r="AH51" s="33">
        <f t="shared" ca="1" si="205"/>
        <v>0</v>
      </c>
      <c r="AI51" s="33">
        <f t="shared" ca="1" si="158"/>
        <v>0</v>
      </c>
      <c r="AJ51" s="34">
        <f t="shared" ca="1" si="204"/>
        <v>0</v>
      </c>
      <c r="AK51" s="35"/>
      <c r="AL51" s="35"/>
      <c r="AM51" s="35"/>
      <c r="AN51" s="35"/>
      <c r="AO51" s="36" t="s">
        <v>22</v>
      </c>
    </row>
    <row r="52" spans="1:41" ht="15.6" thickBot="1" x14ac:dyDescent="0.35">
      <c r="A52" s="14"/>
      <c r="B52" s="15" t="s">
        <v>22</v>
      </c>
      <c r="C52" s="47" t="s">
        <v>22</v>
      </c>
      <c r="D52" s="37" t="s">
        <v>66</v>
      </c>
      <c r="E52" s="9">
        <f t="shared" ref="E52:T52" ca="1" si="206">IF(OR(E$5="",E$5=0),-2,IF(E$6=$D53,-1,RAND()))</f>
        <v>0.80610020832739604</v>
      </c>
      <c r="F52" s="9">
        <f t="shared" ca="1" si="206"/>
        <v>0.83067060066475029</v>
      </c>
      <c r="G52" s="9">
        <f t="shared" ca="1" si="206"/>
        <v>0.19520097905183165</v>
      </c>
      <c r="H52" s="9">
        <f t="shared" ca="1" si="206"/>
        <v>3.6577323767228997E-2</v>
      </c>
      <c r="I52" s="9">
        <f t="shared" ca="1" si="206"/>
        <v>0.4306851889145602</v>
      </c>
      <c r="J52" s="9">
        <f t="shared" ca="1" si="206"/>
        <v>7.1484262016267675E-2</v>
      </c>
      <c r="K52" s="9">
        <f t="shared" ca="1" si="206"/>
        <v>-1</v>
      </c>
      <c r="L52" s="9">
        <f t="shared" ca="1" si="206"/>
        <v>0.17669452932942031</v>
      </c>
      <c r="M52" s="9">
        <f t="shared" ca="1" si="206"/>
        <v>0.78808768258254691</v>
      </c>
      <c r="N52" s="9">
        <f t="shared" ca="1" si="206"/>
        <v>0.14666639611976762</v>
      </c>
      <c r="O52" s="9">
        <f t="shared" ca="1" si="206"/>
        <v>0.80574254750621532</v>
      </c>
      <c r="P52" s="9">
        <f t="shared" ca="1" si="206"/>
        <v>0.5534472723286944</v>
      </c>
      <c r="Q52" s="9">
        <f t="shared" ca="1" si="206"/>
        <v>0.1183229958320513</v>
      </c>
      <c r="R52" s="9">
        <f t="shared" ca="1" si="206"/>
        <v>-1</v>
      </c>
      <c r="S52" s="9">
        <f t="shared" ca="1" si="206"/>
        <v>0.27314544695459364</v>
      </c>
      <c r="T52" s="9">
        <f t="shared" ca="1" si="206"/>
        <v>2.9954774067300849E-2</v>
      </c>
      <c r="U52" s="9">
        <f t="shared" ref="U52:AI52" ca="1" si="207">IF(OR(U$5="",U$5=0),-2,IF(U$6=$D53,-1,RAND()))</f>
        <v>0.83066601290580788</v>
      </c>
      <c r="V52" s="9">
        <f t="shared" ca="1" si="207"/>
        <v>0.37394819400577761</v>
      </c>
      <c r="W52" s="9">
        <f t="shared" ca="1" si="207"/>
        <v>0.63021914557024028</v>
      </c>
      <c r="X52" s="9">
        <f t="shared" ca="1" si="207"/>
        <v>3.0394078207937603E-2</v>
      </c>
      <c r="Y52" s="9">
        <f t="shared" ca="1" si="207"/>
        <v>-1</v>
      </c>
      <c r="Z52" s="9">
        <f t="shared" ca="1" si="207"/>
        <v>0.7056813390167006</v>
      </c>
      <c r="AA52" s="9">
        <f t="shared" ca="1" si="207"/>
        <v>0.73883161199121128</v>
      </c>
      <c r="AB52" s="9">
        <f t="shared" ca="1" si="207"/>
        <v>0.16678966336720824</v>
      </c>
      <c r="AC52" s="9">
        <f t="shared" ca="1" si="207"/>
        <v>0.73342582093061615</v>
      </c>
      <c r="AD52" s="9">
        <f t="shared" ca="1" si="207"/>
        <v>0.10882386316819337</v>
      </c>
      <c r="AE52" s="9">
        <f t="shared" ca="1" si="207"/>
        <v>0.39428495951199982</v>
      </c>
      <c r="AF52" s="9">
        <f t="shared" ca="1" si="207"/>
        <v>-1</v>
      </c>
      <c r="AG52" s="9">
        <f t="shared" ca="1" si="207"/>
        <v>0.96670228821484305</v>
      </c>
      <c r="AH52" s="9">
        <f t="shared" ca="1" si="207"/>
        <v>0.22114516248407612</v>
      </c>
      <c r="AI52" s="9">
        <f t="shared" ca="1" si="207"/>
        <v>0.64457614519238393</v>
      </c>
      <c r="AJ52" s="38"/>
      <c r="AK52" s="37"/>
      <c r="AL52" s="37"/>
      <c r="AM52" s="37"/>
      <c r="AN52" s="37"/>
      <c r="AO52" s="39" t="s">
        <v>22</v>
      </c>
    </row>
    <row r="53" spans="1:41" ht="15.6" thickBot="1" x14ac:dyDescent="0.35">
      <c r="A53" s="42"/>
      <c r="B53" s="44" t="s">
        <v>27</v>
      </c>
      <c r="C53" s="43" t="s">
        <v>49</v>
      </c>
      <c r="D53" s="37" t="s">
        <v>15</v>
      </c>
      <c r="E53" s="9" t="str">
        <f t="shared" ref="E53" ca="1" si="208">IF(OR(E$5="",E$5=0),"",IF(E$6=$D53,"W",IF(_xlfn.RANK.EQ(E52,$E52:$AI52,0)&lt;=INT($AO53),"P",IF(AND(_xlfn.RANK.EQ(E52,$E52:$AI52,0)=INT($AO53)+1,MOD($AO53,1)=0.5),"H","A"))))</f>
        <v>P</v>
      </c>
      <c r="F53" s="9" t="str">
        <f t="shared" ref="F53" ca="1" si="209">IF(OR(F$5="",F$5=0),"",IF(F$6=$D53,"W",IF(_xlfn.RANK.EQ(F52,$E52:$AI52,0)&lt;=INT($AO53),"P",IF(AND(_xlfn.RANK.EQ(F52,$E52:$AI52,0)=INT($AO53)+1,MOD($AO53,1)=0.5),"H","A"))))</f>
        <v>P</v>
      </c>
      <c r="G53" s="9" t="str">
        <f t="shared" ref="G53" ca="1" si="210">IF(OR(G$5="",G$5=0),"",IF(G$6=$D53,"W",IF(_xlfn.RANK.EQ(G52,$E52:$AI52,0)&lt;=INT($AO53),"P",IF(AND(_xlfn.RANK.EQ(G52,$E52:$AI52,0)=INT($AO53)+1,MOD($AO53,1)=0.5),"H","A"))))</f>
        <v>P</v>
      </c>
      <c r="H53" s="9" t="str">
        <f t="shared" ref="H53" ca="1" si="211">IF(OR(H$5="",H$5=0),"",IF(H$6=$D53,"W",IF(_xlfn.RANK.EQ(H52,$E52:$AI52,0)&lt;=INT($AO53),"P",IF(AND(_xlfn.RANK.EQ(H52,$E52:$AI52,0)=INT($AO53)+1,MOD($AO53,1)=0.5),"H","A"))))</f>
        <v>P</v>
      </c>
      <c r="I53" s="9" t="str">
        <f t="shared" ref="I53" ca="1" si="212">IF(OR(I$5="",I$5=0),"",IF(I$6=$D53,"W",IF(_xlfn.RANK.EQ(I52,$E52:$AI52,0)&lt;=INT($AO53),"P",IF(AND(_xlfn.RANK.EQ(I52,$E52:$AI52,0)=INT($AO53)+1,MOD($AO53,1)=0.5),"H","A"))))</f>
        <v>P</v>
      </c>
      <c r="J53" s="9" t="str">
        <f t="shared" ref="J53" ca="1" si="213">IF(OR(J$5="",J$5=0),"",IF(J$6=$D53,"W",IF(_xlfn.RANK.EQ(J52,$E52:$AI52,0)&lt;=INT($AO53),"P",IF(AND(_xlfn.RANK.EQ(J52,$E52:$AI52,0)=INT($AO53)+1,MOD($AO53,1)=0.5),"H","A"))))</f>
        <v>P</v>
      </c>
      <c r="K53" s="9" t="str">
        <f t="shared" ref="K53" si="214">IF(OR(K$5="",K$5=0),"",IF(K$6=$D53,"W",IF(_xlfn.RANK.EQ(K52,$E52:$AI52,0)&lt;=INT($AO53),"P",IF(AND(_xlfn.RANK.EQ(K52,$E52:$AI52,0)=INT($AO53)+1,MOD($AO53,1)=0.5),"H","A"))))</f>
        <v>W</v>
      </c>
      <c r="L53" s="9" t="str">
        <f t="shared" ref="L53" ca="1" si="215">IF(OR(L$5="",L$5=0),"",IF(L$6=$D53,"W",IF(_xlfn.RANK.EQ(L52,$E52:$AI52,0)&lt;=INT($AO53),"P",IF(AND(_xlfn.RANK.EQ(L52,$E52:$AI52,0)=INT($AO53)+1,MOD($AO53,1)=0.5),"H","A"))))</f>
        <v>P</v>
      </c>
      <c r="M53" s="9" t="str">
        <f t="shared" ref="M53" ca="1" si="216">IF(OR(M$5="",M$5=0),"",IF(M$6=$D53,"W",IF(_xlfn.RANK.EQ(M52,$E52:$AI52,0)&lt;=INT($AO53),"P",IF(AND(_xlfn.RANK.EQ(M52,$E52:$AI52,0)=INT($AO53)+1,MOD($AO53,1)=0.5),"H","A"))))</f>
        <v>P</v>
      </c>
      <c r="N53" s="9" t="str">
        <f t="shared" ref="N53" ca="1" si="217">IF(OR(N$5="",N$5=0),"",IF(N$6=$D53,"W",IF(_xlfn.RANK.EQ(N52,$E52:$AI52,0)&lt;=INT($AO53),"P",IF(AND(_xlfn.RANK.EQ(N52,$E52:$AI52,0)=INT($AO53)+1,MOD($AO53,1)=0.5),"H","A"))))</f>
        <v>P</v>
      </c>
      <c r="O53" s="9" t="str">
        <f t="shared" ref="O53" ca="1" si="218">IF(OR(O$5="",O$5=0),"",IF(O$6=$D53,"W",IF(_xlfn.RANK.EQ(O52,$E52:$AI52,0)&lt;=INT($AO53),"P",IF(AND(_xlfn.RANK.EQ(O52,$E52:$AI52,0)=INT($AO53)+1,MOD($AO53,1)=0.5),"H","A"))))</f>
        <v>P</v>
      </c>
      <c r="P53" s="9" t="str">
        <f t="shared" ref="P53" ca="1" si="219">IF(OR(P$5="",P$5=0),"",IF(P$6=$D53,"W",IF(_xlfn.RANK.EQ(P52,$E52:$AI52,0)&lt;=INT($AO53),"P",IF(AND(_xlfn.RANK.EQ(P52,$E52:$AI52,0)=INT($AO53)+1,MOD($AO53,1)=0.5),"H","A"))))</f>
        <v>P</v>
      </c>
      <c r="Q53" s="9" t="str">
        <f t="shared" ref="Q53" ca="1" si="220">IF(OR(Q$5="",Q$5=0),"",IF(Q$6=$D53,"W",IF(_xlfn.RANK.EQ(Q52,$E52:$AI52,0)&lt;=INT($AO53),"P",IF(AND(_xlfn.RANK.EQ(Q52,$E52:$AI52,0)=INT($AO53)+1,MOD($AO53,1)=0.5),"H","A"))))</f>
        <v>P</v>
      </c>
      <c r="R53" s="9" t="str">
        <f t="shared" ref="R53" si="221">IF(OR(R$5="",R$5=0),"",IF(R$6=$D53,"W",IF(_xlfn.RANK.EQ(R52,$E52:$AI52,0)&lt;=INT($AO53),"P",IF(AND(_xlfn.RANK.EQ(R52,$E52:$AI52,0)=INT($AO53)+1,MOD($AO53,1)=0.5),"H","A"))))</f>
        <v>W</v>
      </c>
      <c r="S53" s="9" t="str">
        <f t="shared" ref="S53" ca="1" si="222">IF(OR(S$5="",S$5=0),"",IF(S$6=$D53,"W",IF(_xlfn.RANK.EQ(S52,$E52:$AI52,0)&lt;=INT($AO53),"P",IF(AND(_xlfn.RANK.EQ(S52,$E52:$AI52,0)=INT($AO53)+1,MOD($AO53,1)=0.5),"H","A"))))</f>
        <v>P</v>
      </c>
      <c r="T53" s="9" t="str">
        <f t="shared" ref="T53" ca="1" si="223">IF(OR(T$5="",T$5=0),"",IF(T$6=$D53,"W",IF(_xlfn.RANK.EQ(T52,$E52:$AI52,0)&lt;=INT($AO53),"P",IF(AND(_xlfn.RANK.EQ(T52,$E52:$AI52,0)=INT($AO53)+1,MOD($AO53,1)=0.5),"H","A"))))</f>
        <v>A</v>
      </c>
      <c r="U53" s="9" t="str">
        <f t="shared" ref="U53" ca="1" si="224">IF(OR(U$5="",U$5=0),"",IF(U$6=$D53,"W",IF(_xlfn.RANK.EQ(U52,$E52:$AI52,0)&lt;=INT($AO53),"P",IF(AND(_xlfn.RANK.EQ(U52,$E52:$AI52,0)=INT($AO53)+1,MOD($AO53,1)=0.5),"H","A"))))</f>
        <v>P</v>
      </c>
      <c r="V53" s="9" t="str">
        <f t="shared" ref="V53" ca="1" si="225">IF(OR(V$5="",V$5=0),"",IF(V$6=$D53,"W",IF(_xlfn.RANK.EQ(V52,$E52:$AI52,0)&lt;=INT($AO53),"P",IF(AND(_xlfn.RANK.EQ(V52,$E52:$AI52,0)=INT($AO53)+1,MOD($AO53,1)=0.5),"H","A"))))</f>
        <v>P</v>
      </c>
      <c r="W53" s="9" t="str">
        <f t="shared" ref="W53" ca="1" si="226">IF(OR(W$5="",W$5=0),"",IF(W$6=$D53,"W",IF(_xlfn.RANK.EQ(W52,$E52:$AI52,0)&lt;=INT($AO53),"P",IF(AND(_xlfn.RANK.EQ(W52,$E52:$AI52,0)=INT($AO53)+1,MOD($AO53,1)=0.5),"H","A"))))</f>
        <v>P</v>
      </c>
      <c r="X53" s="9" t="str">
        <f t="shared" ref="X53" ca="1" si="227">IF(OR(X$5="",X$5=0),"",IF(X$6=$D53,"W",IF(_xlfn.RANK.EQ(X52,$E52:$AI52,0)&lt;=INT($AO53),"P",IF(AND(_xlfn.RANK.EQ(X52,$E52:$AI52,0)=INT($AO53)+1,MOD($AO53,1)=0.5),"H","A"))))</f>
        <v>P</v>
      </c>
      <c r="Y53" s="9" t="str">
        <f t="shared" ref="Y53" si="228">IF(OR(Y$5="",Y$5=0),"",IF(Y$6=$D53,"W",IF(_xlfn.RANK.EQ(Y52,$E52:$AI52,0)&lt;=INT($AO53),"P",IF(AND(_xlfn.RANK.EQ(Y52,$E52:$AI52,0)=INT($AO53)+1,MOD($AO53,1)=0.5),"H","A"))))</f>
        <v>W</v>
      </c>
      <c r="Z53" s="9" t="str">
        <f t="shared" ref="Z53" ca="1" si="229">IF(OR(Z$5="",Z$5=0),"",IF(Z$6=$D53,"W",IF(_xlfn.RANK.EQ(Z52,$E52:$AI52,0)&lt;=INT($AO53),"P",IF(AND(_xlfn.RANK.EQ(Z52,$E52:$AI52,0)=INT($AO53)+1,MOD($AO53,1)=0.5),"H","A"))))</f>
        <v>P</v>
      </c>
      <c r="AA53" s="9" t="str">
        <f t="shared" ref="AA53" ca="1" si="230">IF(OR(AA$5="",AA$5=0),"",IF(AA$6=$D53,"W",IF(_xlfn.RANK.EQ(AA52,$E52:$AI52,0)&lt;=INT($AO53),"P",IF(AND(_xlfn.RANK.EQ(AA52,$E52:$AI52,0)=INT($AO53)+1,MOD($AO53,1)=0.5),"H","A"))))</f>
        <v>P</v>
      </c>
      <c r="AB53" s="9" t="str">
        <f t="shared" ref="AB53" ca="1" si="231">IF(OR(AB$5="",AB$5=0),"",IF(AB$6=$D53,"W",IF(_xlfn.RANK.EQ(AB52,$E52:$AI52,0)&lt;=INT($AO53),"P",IF(AND(_xlfn.RANK.EQ(AB52,$E52:$AI52,0)=INT($AO53)+1,MOD($AO53,1)=0.5),"H","A"))))</f>
        <v>P</v>
      </c>
      <c r="AC53" s="9" t="str">
        <f t="shared" ref="AC53" ca="1" si="232">IF(OR(AC$5="",AC$5=0),"",IF(AC$6=$D53,"W",IF(_xlfn.RANK.EQ(AC52,$E52:$AI52,0)&lt;=INT($AO53),"P",IF(AND(_xlfn.RANK.EQ(AC52,$E52:$AI52,0)=INT($AO53)+1,MOD($AO53,1)=0.5),"H","A"))))</f>
        <v>P</v>
      </c>
      <c r="AD53" s="9" t="str">
        <f t="shared" ref="AD53" ca="1" si="233">IF(OR(AD$5="",AD$5=0),"",IF(AD$6=$D53,"W",IF(_xlfn.RANK.EQ(AD52,$E52:$AI52,0)&lt;=INT($AO53),"P",IF(AND(_xlfn.RANK.EQ(AD52,$E52:$AI52,0)=INT($AO53)+1,MOD($AO53,1)=0.5),"H","A"))))</f>
        <v>P</v>
      </c>
      <c r="AE53" s="9" t="str">
        <f t="shared" ref="AE53" ca="1" si="234">IF(OR(AE$5="",AE$5=0),"",IF(AE$6=$D53,"W",IF(_xlfn.RANK.EQ(AE52,$E52:$AI52,0)&lt;=INT($AO53),"P",IF(AND(_xlfn.RANK.EQ(AE52,$E52:$AI52,0)=INT($AO53)+1,MOD($AO53,1)=0.5),"H","A"))))</f>
        <v>P</v>
      </c>
      <c r="AF53" s="9" t="str">
        <f t="shared" ref="AF53" si="235">IF(OR(AF$5="",AF$5=0),"",IF(AF$6=$D53,"W",IF(_xlfn.RANK.EQ(AF52,$E52:$AI52,0)&lt;=INT($AO53),"P",IF(AND(_xlfn.RANK.EQ(AF52,$E52:$AI52,0)=INT($AO53)+1,MOD($AO53,1)=0.5),"H","A"))))</f>
        <v>W</v>
      </c>
      <c r="AG53" s="9" t="str">
        <f t="shared" ref="AG53" ca="1" si="236">IF(OR(AG$5="",AG$5=0),"",IF(AG$6=$D53,"W",IF(_xlfn.RANK.EQ(AG52,$E52:$AI52,0)&lt;=INT($AO53),"P",IF(AND(_xlfn.RANK.EQ(AG52,$E52:$AI52,0)=INT($AO53)+1,MOD($AO53,1)=0.5),"H","A"))))</f>
        <v>P</v>
      </c>
      <c r="AH53" s="9" t="str">
        <f t="shared" ref="AH53" ca="1" si="237">IF(OR(AH$5="",AH$5=0),"",IF(AH$6=$D53,"W",IF(_xlfn.RANK.EQ(AH52,$E52:$AI52,0)&lt;=INT($AO53),"P",IF(AND(_xlfn.RANK.EQ(AH52,$E52:$AI52,0)=INT($AO53)+1,MOD($AO53,1)=0.5),"H","A"))))</f>
        <v>P</v>
      </c>
      <c r="AI53" s="9" t="str">
        <f t="shared" ref="AI53" ca="1" si="238">IF(OR(AI$5="",AI$5=0),"",IF(AI$6=$D53,"W",IF(_xlfn.RANK.EQ(AI52,$E52:$AI52,0)&lt;=INT($AO53),"P",IF(AND(_xlfn.RANK.EQ(AI52,$E52:$AI52,0)=INT($AO53)+1,MOD($AO53,1)=0.5),"H","A"))))</f>
        <v>P</v>
      </c>
      <c r="AJ53" s="16">
        <f t="shared" ref="AJ53" ca="1" si="239">COUNTIF(E53:AI53, "P")</f>
        <v>26</v>
      </c>
      <c r="AK53" s="17">
        <f t="shared" ref="AK53" ca="1" si="240">COUNTIF(E53:AH53, "A")</f>
        <v>1</v>
      </c>
      <c r="AL53" s="17">
        <f t="shared" ref="AL53" ca="1" si="241">COUNTIF(E53:AH53, "W")</f>
        <v>4</v>
      </c>
      <c r="AM53" s="17">
        <f t="shared" ref="AM53" ca="1" si="242">COUNTIF(E53:AH53, "H")</f>
        <v>0</v>
      </c>
      <c r="AN53" s="17">
        <f t="shared" ref="AN53" ca="1" si="243">COUNTIF(E53:AH53, "PL")</f>
        <v>0</v>
      </c>
      <c r="AO53" s="18">
        <v>26</v>
      </c>
    </row>
    <row r="54" spans="1:41" ht="15" x14ac:dyDescent="0.3">
      <c r="A54" s="19"/>
      <c r="B54" s="1" t="s">
        <v>22</v>
      </c>
      <c r="C54" s="48" t="s">
        <v>22</v>
      </c>
      <c r="D54" s="45" t="s">
        <v>1</v>
      </c>
      <c r="E54" s="20" t="str">
        <f t="shared" ref="E54:AI63" ca="1" si="244">IF(E53="P", IF($D52="G", TEXT(RAND()*(9.27-9.62)/24+9.62/24,"HH:MM"), IF($D52="A", TEXT(RAND()*(8.06-8.1)/24+8.15/24,"HH:MM"), IF($D52="B", TEXT(RAND()*(16.06-16.1)/24+16.15/24,"HH:MM"), IF($D52="C", TEXT(RAND()*(24.85-24.13)/24+24.13/24,"HH:MM"), " ")))), "")</f>
        <v>00:32</v>
      </c>
      <c r="F54" s="20" t="str">
        <f t="shared" ca="1" si="244"/>
        <v>00:13</v>
      </c>
      <c r="G54" s="20" t="str">
        <f t="shared" ca="1" si="244"/>
        <v>00:37</v>
      </c>
      <c r="H54" s="20" t="str">
        <f t="shared" ca="1" si="244"/>
        <v>00:37</v>
      </c>
      <c r="I54" s="20" t="str">
        <f t="shared" ca="1" si="244"/>
        <v>00:19</v>
      </c>
      <c r="J54" s="20" t="str">
        <f t="shared" ca="1" si="244"/>
        <v>00:40</v>
      </c>
      <c r="K54" s="20" t="str">
        <f t="shared" ca="1" si="244"/>
        <v/>
      </c>
      <c r="L54" s="20" t="str">
        <f t="shared" ca="1" si="244"/>
        <v>00:24</v>
      </c>
      <c r="M54" s="20" t="str">
        <f t="shared" ca="1" si="244"/>
        <v>00:13</v>
      </c>
      <c r="N54" s="20" t="str">
        <f t="shared" ca="1" si="244"/>
        <v>00:44</v>
      </c>
      <c r="O54" s="20" t="str">
        <f t="shared" ca="1" si="244"/>
        <v>00:19</v>
      </c>
      <c r="P54" s="20" t="str">
        <f t="shared" ca="1" si="244"/>
        <v>00:23</v>
      </c>
      <c r="Q54" s="20" t="str">
        <f t="shared" ca="1" si="244"/>
        <v>00:47</v>
      </c>
      <c r="R54" s="20" t="str">
        <f t="shared" ca="1" si="244"/>
        <v/>
      </c>
      <c r="S54" s="20" t="str">
        <f t="shared" ca="1" si="244"/>
        <v>00:21</v>
      </c>
      <c r="T54" s="20" t="str">
        <f t="shared" ca="1" si="244"/>
        <v/>
      </c>
      <c r="U54" s="20" t="str">
        <f t="shared" ca="1" si="244"/>
        <v>00:38</v>
      </c>
      <c r="V54" s="20" t="str">
        <f t="shared" ca="1" si="244"/>
        <v>00:12</v>
      </c>
      <c r="W54" s="20" t="str">
        <f t="shared" ca="1" si="244"/>
        <v>00:32</v>
      </c>
      <c r="X54" s="20" t="str">
        <f t="shared" ca="1" si="244"/>
        <v>00:26</v>
      </c>
      <c r="Y54" s="20" t="str">
        <f t="shared" ca="1" si="244"/>
        <v/>
      </c>
      <c r="Z54" s="20" t="str">
        <f t="shared" ca="1" si="244"/>
        <v>00:11</v>
      </c>
      <c r="AA54" s="20" t="str">
        <f t="shared" ca="1" si="244"/>
        <v>00:14</v>
      </c>
      <c r="AB54" s="20" t="str">
        <f t="shared" ca="1" si="244"/>
        <v>00:19</v>
      </c>
      <c r="AC54" s="20" t="str">
        <f t="shared" ca="1" si="244"/>
        <v>00:18</v>
      </c>
      <c r="AD54" s="20" t="str">
        <f t="shared" ca="1" si="244"/>
        <v>00:11</v>
      </c>
      <c r="AE54" s="20" t="str">
        <f t="shared" ca="1" si="244"/>
        <v>00:27</v>
      </c>
      <c r="AF54" s="20" t="str">
        <f t="shared" ca="1" si="244"/>
        <v/>
      </c>
      <c r="AG54" s="20" t="str">
        <f t="shared" ca="1" si="244"/>
        <v>00:47</v>
      </c>
      <c r="AH54" s="20" t="str">
        <f t="shared" ca="1" si="244"/>
        <v>00:10</v>
      </c>
      <c r="AI54" s="20" t="str">
        <f t="shared" ca="1" si="244"/>
        <v>00:30</v>
      </c>
      <c r="AJ54" s="21"/>
      <c r="AK54" s="22"/>
      <c r="AL54" s="22"/>
      <c r="AM54" s="22"/>
      <c r="AN54" s="22"/>
      <c r="AO54" s="23" t="s">
        <v>22</v>
      </c>
    </row>
    <row r="55" spans="1:41" ht="15" x14ac:dyDescent="0.3">
      <c r="A55" s="19"/>
      <c r="B55" s="1" t="s">
        <v>22</v>
      </c>
      <c r="C55" s="48" t="s">
        <v>22</v>
      </c>
      <c r="D55" s="45" t="s">
        <v>2</v>
      </c>
      <c r="E55" s="20" t="str">
        <f t="shared" ref="E55:AI64" ca="1" si="245">IF(E53="P", IF($D52="G", TEXT(RAND()*(18.85-18.13)/24+18.13/24,"HH:MM"), IF($D52="A", TEXT(RAND()*(16.85-16.13)/24+16.13/24,"HH:MM"), IF($D52="B", TEXT(RAND()*(24.85-24.13)/24+24.13/24,"HH:MM"), IF($D52="C", TEXT(RAND()*(8.85-8.13)/24+8.13/24,"HH:MM"), " ")))), "")</f>
        <v>08:42</v>
      </c>
      <c r="F55" s="20" t="str">
        <f t="shared" ca="1" si="245"/>
        <v>08:11</v>
      </c>
      <c r="G55" s="20" t="str">
        <f t="shared" ca="1" si="245"/>
        <v>08:23</v>
      </c>
      <c r="H55" s="20" t="str">
        <f t="shared" ca="1" si="245"/>
        <v>08:36</v>
      </c>
      <c r="I55" s="20" t="str">
        <f t="shared" ca="1" si="245"/>
        <v>08:50</v>
      </c>
      <c r="J55" s="20" t="str">
        <f t="shared" ca="1" si="245"/>
        <v>08:20</v>
      </c>
      <c r="K55" s="20" t="str">
        <f t="shared" ca="1" si="245"/>
        <v/>
      </c>
      <c r="L55" s="20" t="str">
        <f t="shared" ca="1" si="245"/>
        <v>08:50</v>
      </c>
      <c r="M55" s="20" t="str">
        <f t="shared" ca="1" si="245"/>
        <v>08:35</v>
      </c>
      <c r="N55" s="20" t="str">
        <f t="shared" ca="1" si="245"/>
        <v>08:10</v>
      </c>
      <c r="O55" s="20" t="str">
        <f t="shared" ca="1" si="245"/>
        <v>08:50</v>
      </c>
      <c r="P55" s="20" t="str">
        <f t="shared" ca="1" si="245"/>
        <v>08:27</v>
      </c>
      <c r="Q55" s="20" t="str">
        <f t="shared" ca="1" si="245"/>
        <v>08:14</v>
      </c>
      <c r="R55" s="20" t="str">
        <f t="shared" ca="1" si="245"/>
        <v/>
      </c>
      <c r="S55" s="20" t="str">
        <f t="shared" ca="1" si="245"/>
        <v>08:49</v>
      </c>
      <c r="T55" s="20" t="str">
        <f t="shared" ca="1" si="245"/>
        <v/>
      </c>
      <c r="U55" s="20" t="str">
        <f t="shared" ca="1" si="245"/>
        <v>08:14</v>
      </c>
      <c r="V55" s="20" t="str">
        <f t="shared" ca="1" si="245"/>
        <v>08:21</v>
      </c>
      <c r="W55" s="20" t="str">
        <f t="shared" ca="1" si="245"/>
        <v>08:27</v>
      </c>
      <c r="X55" s="20" t="str">
        <f t="shared" ca="1" si="245"/>
        <v>08:49</v>
      </c>
      <c r="Y55" s="20" t="str">
        <f t="shared" ca="1" si="245"/>
        <v/>
      </c>
      <c r="Z55" s="20" t="str">
        <f t="shared" ca="1" si="245"/>
        <v>08:30</v>
      </c>
      <c r="AA55" s="20" t="str">
        <f t="shared" ca="1" si="245"/>
        <v>08:12</v>
      </c>
      <c r="AB55" s="20" t="str">
        <f t="shared" ca="1" si="245"/>
        <v>08:43</v>
      </c>
      <c r="AC55" s="20" t="str">
        <f t="shared" ca="1" si="245"/>
        <v>08:36</v>
      </c>
      <c r="AD55" s="20" t="str">
        <f t="shared" ca="1" si="245"/>
        <v>08:16</v>
      </c>
      <c r="AE55" s="20" t="str">
        <f t="shared" ca="1" si="245"/>
        <v>08:21</v>
      </c>
      <c r="AF55" s="20" t="str">
        <f t="shared" ca="1" si="245"/>
        <v/>
      </c>
      <c r="AG55" s="20" t="str">
        <f t="shared" ca="1" si="245"/>
        <v>08:34</v>
      </c>
      <c r="AH55" s="20" t="str">
        <f t="shared" ca="1" si="245"/>
        <v>08:31</v>
      </c>
      <c r="AI55" s="20" t="str">
        <f t="shared" ca="1" si="245"/>
        <v>08:34</v>
      </c>
      <c r="AJ55" s="24" t="s">
        <v>13</v>
      </c>
      <c r="AK55" s="25"/>
      <c r="AL55" s="25"/>
      <c r="AM55" s="25"/>
      <c r="AN55" s="25"/>
      <c r="AO55" s="23" t="s">
        <v>22</v>
      </c>
    </row>
    <row r="56" spans="1:41" ht="15" x14ac:dyDescent="0.3">
      <c r="A56" s="26"/>
      <c r="B56" s="1" t="s">
        <v>22</v>
      </c>
      <c r="C56" s="48" t="s">
        <v>22</v>
      </c>
      <c r="D56" s="45" t="s">
        <v>14</v>
      </c>
      <c r="E56" s="27">
        <f t="shared" ref="E56:AI65" ca="1" si="246">IF(E53="P", MOD(E55-E54, 1), " ")</f>
        <v>0.34027777777777779</v>
      </c>
      <c r="F56" s="27">
        <f t="shared" ca="1" si="246"/>
        <v>0.33194444444444443</v>
      </c>
      <c r="G56" s="27">
        <f t="shared" ca="1" si="246"/>
        <v>0.32361111111111107</v>
      </c>
      <c r="H56" s="27">
        <f t="shared" ca="1" si="246"/>
        <v>0.33263888888888887</v>
      </c>
      <c r="I56" s="27">
        <f t="shared" ca="1" si="246"/>
        <v>0.35486111111111113</v>
      </c>
      <c r="J56" s="27">
        <f t="shared" ca="1" si="246"/>
        <v>0.31944444444444442</v>
      </c>
      <c r="K56" s="27" t="str">
        <f t="shared" si="246"/>
        <v xml:space="preserve"> </v>
      </c>
      <c r="L56" s="27">
        <f t="shared" ca="1" si="246"/>
        <v>0.35138888888888892</v>
      </c>
      <c r="M56" s="27">
        <f t="shared" ca="1" si="246"/>
        <v>0.34861111111111109</v>
      </c>
      <c r="N56" s="27">
        <f t="shared" ca="1" si="246"/>
        <v>0.30972222222222223</v>
      </c>
      <c r="O56" s="27">
        <f t="shared" ca="1" si="246"/>
        <v>0.35486111111111113</v>
      </c>
      <c r="P56" s="27">
        <f t="shared" ca="1" si="246"/>
        <v>0.33611111111111114</v>
      </c>
      <c r="Q56" s="27">
        <f t="shared" ca="1" si="246"/>
        <v>0.31041666666666667</v>
      </c>
      <c r="R56" s="27" t="str">
        <f t="shared" si="246"/>
        <v xml:space="preserve"> </v>
      </c>
      <c r="S56" s="27">
        <f t="shared" ca="1" si="246"/>
        <v>0.3527777777777778</v>
      </c>
      <c r="T56" s="27" t="str">
        <f t="shared" ca="1" si="246"/>
        <v xml:space="preserve"> </v>
      </c>
      <c r="U56" s="27">
        <f t="shared" ca="1" si="246"/>
        <v>0.31666666666666665</v>
      </c>
      <c r="V56" s="27">
        <f t="shared" ca="1" si="246"/>
        <v>0.33958333333333329</v>
      </c>
      <c r="W56" s="27">
        <f t="shared" ca="1" si="246"/>
        <v>0.32986111111111116</v>
      </c>
      <c r="X56" s="27">
        <f t="shared" ca="1" si="246"/>
        <v>0.34930555555555559</v>
      </c>
      <c r="Y56" s="27" t="str">
        <f t="shared" si="246"/>
        <v xml:space="preserve"> </v>
      </c>
      <c r="Z56" s="27">
        <f t="shared" ca="1" si="246"/>
        <v>0.34652777777777782</v>
      </c>
      <c r="AA56" s="27">
        <f t="shared" ca="1" si="246"/>
        <v>0.33194444444444443</v>
      </c>
      <c r="AB56" s="27">
        <f t="shared" ca="1" si="246"/>
        <v>0.35</v>
      </c>
      <c r="AC56" s="27">
        <f t="shared" ca="1" si="246"/>
        <v>0.34583333333333333</v>
      </c>
      <c r="AD56" s="27">
        <f t="shared" ca="1" si="246"/>
        <v>0.33680555555555558</v>
      </c>
      <c r="AE56" s="27">
        <f t="shared" ca="1" si="246"/>
        <v>0.32916666666666666</v>
      </c>
      <c r="AF56" s="27" t="str">
        <f t="shared" si="246"/>
        <v xml:space="preserve"> </v>
      </c>
      <c r="AG56" s="27">
        <f t="shared" ca="1" si="246"/>
        <v>0.32430555555555557</v>
      </c>
      <c r="AH56" s="27">
        <f t="shared" ca="1" si="246"/>
        <v>0.34791666666666671</v>
      </c>
      <c r="AI56" s="27">
        <f t="shared" ca="1" si="246"/>
        <v>0.33611111111111114</v>
      </c>
      <c r="AJ56" s="28">
        <f t="shared" ref="AJ56" ca="1" si="247">AJ53*8</f>
        <v>208</v>
      </c>
      <c r="AK56" s="29"/>
      <c r="AL56" s="29"/>
      <c r="AM56" s="29"/>
      <c r="AN56" s="29"/>
      <c r="AO56" s="23" t="s">
        <v>22</v>
      </c>
    </row>
    <row r="57" spans="1:41" ht="15" x14ac:dyDescent="0.3">
      <c r="A57" s="26"/>
      <c r="B57" s="1" t="s">
        <v>22</v>
      </c>
      <c r="C57" s="48" t="s">
        <v>22</v>
      </c>
      <c r="D57" s="45" t="s">
        <v>19</v>
      </c>
      <c r="E57" s="27" t="str">
        <f t="shared" ref="E57:AI66" ca="1" si="248">IF(E53="P","08:00"," ")</f>
        <v>08:00</v>
      </c>
      <c r="F57" s="27" t="str">
        <f t="shared" ca="1" si="248"/>
        <v>08:00</v>
      </c>
      <c r="G57" s="27" t="str">
        <f t="shared" ca="1" si="248"/>
        <v>08:00</v>
      </c>
      <c r="H57" s="27" t="str">
        <f t="shared" ca="1" si="248"/>
        <v>08:00</v>
      </c>
      <c r="I57" s="27" t="str">
        <f t="shared" ca="1" si="248"/>
        <v>08:00</v>
      </c>
      <c r="J57" s="27" t="str">
        <f t="shared" ca="1" si="248"/>
        <v>08:00</v>
      </c>
      <c r="K57" s="27" t="str">
        <f t="shared" si="248"/>
        <v xml:space="preserve"> </v>
      </c>
      <c r="L57" s="27" t="str">
        <f t="shared" ca="1" si="248"/>
        <v>08:00</v>
      </c>
      <c r="M57" s="27" t="str">
        <f t="shared" ca="1" si="248"/>
        <v>08:00</v>
      </c>
      <c r="N57" s="27" t="str">
        <f t="shared" ca="1" si="248"/>
        <v>08:00</v>
      </c>
      <c r="O57" s="27" t="str">
        <f t="shared" ca="1" si="248"/>
        <v>08:00</v>
      </c>
      <c r="P57" s="27" t="str">
        <f t="shared" ca="1" si="248"/>
        <v>08:00</v>
      </c>
      <c r="Q57" s="27" t="str">
        <f t="shared" ca="1" si="248"/>
        <v>08:00</v>
      </c>
      <c r="R57" s="27" t="str">
        <f t="shared" si="248"/>
        <v xml:space="preserve"> </v>
      </c>
      <c r="S57" s="27" t="str">
        <f t="shared" ca="1" si="248"/>
        <v>08:00</v>
      </c>
      <c r="T57" s="27" t="str">
        <f t="shared" ca="1" si="248"/>
        <v xml:space="preserve"> </v>
      </c>
      <c r="U57" s="27" t="str">
        <f t="shared" ca="1" si="248"/>
        <v>08:00</v>
      </c>
      <c r="V57" s="27" t="str">
        <f t="shared" ca="1" si="248"/>
        <v>08:00</v>
      </c>
      <c r="W57" s="27" t="str">
        <f t="shared" ca="1" si="248"/>
        <v>08:00</v>
      </c>
      <c r="X57" s="27" t="str">
        <f t="shared" ca="1" si="248"/>
        <v>08:00</v>
      </c>
      <c r="Y57" s="27" t="str">
        <f t="shared" si="248"/>
        <v xml:space="preserve"> </v>
      </c>
      <c r="Z57" s="27" t="str">
        <f t="shared" ca="1" si="248"/>
        <v>08:00</v>
      </c>
      <c r="AA57" s="27" t="str">
        <f t="shared" ca="1" si="248"/>
        <v>08:00</v>
      </c>
      <c r="AB57" s="27" t="str">
        <f t="shared" ca="1" si="248"/>
        <v>08:00</v>
      </c>
      <c r="AC57" s="27" t="str">
        <f t="shared" ca="1" si="248"/>
        <v>08:00</v>
      </c>
      <c r="AD57" s="27" t="str">
        <f t="shared" ca="1" si="248"/>
        <v>08:00</v>
      </c>
      <c r="AE57" s="27" t="str">
        <f t="shared" ca="1" si="248"/>
        <v>08:00</v>
      </c>
      <c r="AF57" s="27" t="str">
        <f t="shared" si="248"/>
        <v xml:space="preserve"> </v>
      </c>
      <c r="AG57" s="27" t="str">
        <f t="shared" ca="1" si="248"/>
        <v>08:00</v>
      </c>
      <c r="AH57" s="27" t="str">
        <f t="shared" ca="1" si="248"/>
        <v>08:00</v>
      </c>
      <c r="AI57" s="27" t="str">
        <f t="shared" ca="1" si="248"/>
        <v>08:00</v>
      </c>
      <c r="AJ57" s="28"/>
      <c r="AK57" s="29"/>
      <c r="AL57" s="29"/>
      <c r="AM57" s="29"/>
      <c r="AN57" s="29"/>
      <c r="AO57" s="23" t="s">
        <v>22</v>
      </c>
    </row>
    <row r="58" spans="1:41" ht="15" x14ac:dyDescent="0.3">
      <c r="A58" s="26"/>
      <c r="B58" s="1" t="s">
        <v>22</v>
      </c>
      <c r="C58" s="48" t="s">
        <v>22</v>
      </c>
      <c r="D58" s="45" t="s">
        <v>12</v>
      </c>
      <c r="E58" s="27" t="str">
        <f t="shared" ref="E58:AI67" ca="1" si="249">IF(E53="P","01:00"," ")</f>
        <v>01:00</v>
      </c>
      <c r="F58" s="27" t="str">
        <f t="shared" ca="1" si="249"/>
        <v>01:00</v>
      </c>
      <c r="G58" s="27" t="str">
        <f t="shared" ca="1" si="249"/>
        <v>01:00</v>
      </c>
      <c r="H58" s="27" t="str">
        <f t="shared" ca="1" si="249"/>
        <v>01:00</v>
      </c>
      <c r="I58" s="27" t="str">
        <f t="shared" ca="1" si="249"/>
        <v>01:00</v>
      </c>
      <c r="J58" s="27" t="str">
        <f t="shared" ca="1" si="249"/>
        <v>01:00</v>
      </c>
      <c r="K58" s="27" t="str">
        <f t="shared" si="249"/>
        <v xml:space="preserve"> </v>
      </c>
      <c r="L58" s="27" t="str">
        <f t="shared" ca="1" si="249"/>
        <v>01:00</v>
      </c>
      <c r="M58" s="27" t="str">
        <f t="shared" ca="1" si="249"/>
        <v>01:00</v>
      </c>
      <c r="N58" s="27" t="str">
        <f t="shared" ca="1" si="249"/>
        <v>01:00</v>
      </c>
      <c r="O58" s="27" t="str">
        <f t="shared" ca="1" si="249"/>
        <v>01:00</v>
      </c>
      <c r="P58" s="27" t="str">
        <f t="shared" ca="1" si="249"/>
        <v>01:00</v>
      </c>
      <c r="Q58" s="27" t="str">
        <f t="shared" ca="1" si="249"/>
        <v>01:00</v>
      </c>
      <c r="R58" s="27" t="str">
        <f t="shared" si="249"/>
        <v xml:space="preserve"> </v>
      </c>
      <c r="S58" s="27" t="str">
        <f t="shared" ca="1" si="249"/>
        <v>01:00</v>
      </c>
      <c r="T58" s="27" t="str">
        <f t="shared" ca="1" si="249"/>
        <v xml:space="preserve"> </v>
      </c>
      <c r="U58" s="27" t="str">
        <f t="shared" ca="1" si="249"/>
        <v>01:00</v>
      </c>
      <c r="V58" s="27" t="str">
        <f t="shared" ca="1" si="249"/>
        <v>01:00</v>
      </c>
      <c r="W58" s="27" t="str">
        <f t="shared" ca="1" si="249"/>
        <v>01:00</v>
      </c>
      <c r="X58" s="27" t="str">
        <f t="shared" ca="1" si="249"/>
        <v>01:00</v>
      </c>
      <c r="Y58" s="27" t="str">
        <f t="shared" si="249"/>
        <v xml:space="preserve"> </v>
      </c>
      <c r="Z58" s="27" t="str">
        <f t="shared" ca="1" si="249"/>
        <v>01:00</v>
      </c>
      <c r="AA58" s="27" t="str">
        <f t="shared" ca="1" si="249"/>
        <v>01:00</v>
      </c>
      <c r="AB58" s="27" t="str">
        <f t="shared" ca="1" si="249"/>
        <v>01:00</v>
      </c>
      <c r="AC58" s="27" t="str">
        <f t="shared" ca="1" si="249"/>
        <v>01:00</v>
      </c>
      <c r="AD58" s="27" t="str">
        <f t="shared" ca="1" si="249"/>
        <v>01:00</v>
      </c>
      <c r="AE58" s="27" t="str">
        <f t="shared" ca="1" si="249"/>
        <v>01:00</v>
      </c>
      <c r="AF58" s="27" t="str">
        <f t="shared" si="249"/>
        <v xml:space="preserve"> </v>
      </c>
      <c r="AG58" s="27" t="str">
        <f t="shared" ca="1" si="249"/>
        <v>01:00</v>
      </c>
      <c r="AH58" s="27" t="str">
        <f t="shared" ca="1" si="249"/>
        <v>01:00</v>
      </c>
      <c r="AI58" s="27" t="str">
        <f t="shared" ca="1" si="249"/>
        <v>01:00</v>
      </c>
      <c r="AJ58" s="24" t="s">
        <v>11</v>
      </c>
      <c r="AK58" s="25"/>
      <c r="AL58" s="25"/>
      <c r="AM58" s="25"/>
      <c r="AN58" s="25"/>
      <c r="AO58" s="23" t="s">
        <v>22</v>
      </c>
    </row>
    <row r="59" spans="1:41" ht="15" x14ac:dyDescent="0.3">
      <c r="A59" s="26"/>
      <c r="B59" s="1" t="s">
        <v>22</v>
      </c>
      <c r="C59" s="48" t="s">
        <v>22</v>
      </c>
      <c r="D59" s="45" t="s">
        <v>11</v>
      </c>
      <c r="E59" s="27">
        <f t="shared" ref="E59:AI68" ca="1" si="250">IF(E53="P",E56-E58," ")</f>
        <v>0.2986111111111111</v>
      </c>
      <c r="F59" s="27">
        <f t="shared" ca="1" si="250"/>
        <v>0.29027777777777775</v>
      </c>
      <c r="G59" s="27">
        <f t="shared" ca="1" si="250"/>
        <v>0.28194444444444439</v>
      </c>
      <c r="H59" s="27">
        <f t="shared" ca="1" si="250"/>
        <v>0.29097222222222219</v>
      </c>
      <c r="I59" s="27">
        <f t="shared" ca="1" si="250"/>
        <v>0.31319444444444444</v>
      </c>
      <c r="J59" s="27">
        <f t="shared" ca="1" si="250"/>
        <v>0.27777777777777773</v>
      </c>
      <c r="K59" s="27" t="str">
        <f t="shared" si="250"/>
        <v xml:space="preserve"> </v>
      </c>
      <c r="L59" s="27">
        <f t="shared" ca="1" si="250"/>
        <v>0.30972222222222223</v>
      </c>
      <c r="M59" s="27">
        <f t="shared" ca="1" si="250"/>
        <v>0.30694444444444441</v>
      </c>
      <c r="N59" s="27">
        <f t="shared" ca="1" si="250"/>
        <v>0.26805555555555555</v>
      </c>
      <c r="O59" s="27">
        <f t="shared" ca="1" si="250"/>
        <v>0.31319444444444444</v>
      </c>
      <c r="P59" s="27">
        <f t="shared" ca="1" si="250"/>
        <v>0.29444444444444445</v>
      </c>
      <c r="Q59" s="27">
        <f t="shared" ca="1" si="250"/>
        <v>0.26874999999999999</v>
      </c>
      <c r="R59" s="27" t="str">
        <f t="shared" si="250"/>
        <v xml:space="preserve"> </v>
      </c>
      <c r="S59" s="27">
        <f t="shared" ca="1" si="250"/>
        <v>0.31111111111111112</v>
      </c>
      <c r="T59" s="27" t="str">
        <f t="shared" ca="1" si="250"/>
        <v xml:space="preserve"> </v>
      </c>
      <c r="U59" s="27">
        <f t="shared" ca="1" si="250"/>
        <v>0.27499999999999997</v>
      </c>
      <c r="V59" s="27">
        <f t="shared" ca="1" si="250"/>
        <v>0.29791666666666661</v>
      </c>
      <c r="W59" s="27">
        <f t="shared" ca="1" si="250"/>
        <v>0.28819444444444448</v>
      </c>
      <c r="X59" s="27">
        <f t="shared" ca="1" si="250"/>
        <v>0.30763888888888891</v>
      </c>
      <c r="Y59" s="27" t="str">
        <f t="shared" si="250"/>
        <v xml:space="preserve"> </v>
      </c>
      <c r="Z59" s="27">
        <f t="shared" ca="1" si="250"/>
        <v>0.30486111111111114</v>
      </c>
      <c r="AA59" s="27">
        <f t="shared" ca="1" si="250"/>
        <v>0.29027777777777775</v>
      </c>
      <c r="AB59" s="27">
        <f t="shared" ca="1" si="250"/>
        <v>0.30833333333333329</v>
      </c>
      <c r="AC59" s="27">
        <f t="shared" ca="1" si="250"/>
        <v>0.30416666666666664</v>
      </c>
      <c r="AD59" s="27">
        <f t="shared" ca="1" si="250"/>
        <v>0.2951388888888889</v>
      </c>
      <c r="AE59" s="27">
        <f t="shared" ca="1" si="250"/>
        <v>0.28749999999999998</v>
      </c>
      <c r="AF59" s="27" t="str">
        <f t="shared" si="250"/>
        <v xml:space="preserve"> </v>
      </c>
      <c r="AG59" s="27">
        <f t="shared" ca="1" si="250"/>
        <v>0.28263888888888888</v>
      </c>
      <c r="AH59" s="27">
        <f t="shared" ca="1" si="250"/>
        <v>0.30625000000000002</v>
      </c>
      <c r="AI59" s="27">
        <f t="shared" ca="1" si="250"/>
        <v>0.29444444444444445</v>
      </c>
      <c r="AJ59" s="30">
        <f t="shared" ref="AJ59:AJ60" ca="1" si="251">SUM(E59:AH59)</f>
        <v>7.3729166666666668</v>
      </c>
      <c r="AK59" s="25"/>
      <c r="AL59" s="25"/>
      <c r="AM59" s="25"/>
      <c r="AN59" s="25"/>
      <c r="AO59" s="23" t="s">
        <v>22</v>
      </c>
    </row>
    <row r="60" spans="1:41" ht="15.6" thickBot="1" x14ac:dyDescent="0.35">
      <c r="A60" s="31"/>
      <c r="B60" s="32" t="s">
        <v>22</v>
      </c>
      <c r="C60" s="49" t="s">
        <v>22</v>
      </c>
      <c r="D60" s="46" t="s">
        <v>20</v>
      </c>
      <c r="E60" s="33">
        <f t="shared" ref="E60:AI69" ca="1" si="252">IF(E53="P",(IF(E57&gt;E59,0,E59-E57))," ")</f>
        <v>0</v>
      </c>
      <c r="F60" s="33">
        <f t="shared" ca="1" si="252"/>
        <v>0</v>
      </c>
      <c r="G60" s="33">
        <f t="shared" ca="1" si="252"/>
        <v>0</v>
      </c>
      <c r="H60" s="33">
        <f t="shared" ca="1" si="252"/>
        <v>0</v>
      </c>
      <c r="I60" s="33">
        <f t="shared" ca="1" si="252"/>
        <v>0</v>
      </c>
      <c r="J60" s="33">
        <f t="shared" ca="1" si="252"/>
        <v>0</v>
      </c>
      <c r="K60" s="33" t="str">
        <f t="shared" si="252"/>
        <v xml:space="preserve"> </v>
      </c>
      <c r="L60" s="33">
        <f t="shared" ca="1" si="252"/>
        <v>0</v>
      </c>
      <c r="M60" s="33">
        <f t="shared" ca="1" si="252"/>
        <v>0</v>
      </c>
      <c r="N60" s="33">
        <f t="shared" ca="1" si="252"/>
        <v>0</v>
      </c>
      <c r="O60" s="33">
        <f t="shared" ca="1" si="252"/>
        <v>0</v>
      </c>
      <c r="P60" s="33">
        <f t="shared" ca="1" si="252"/>
        <v>0</v>
      </c>
      <c r="Q60" s="33">
        <f t="shared" ca="1" si="252"/>
        <v>0</v>
      </c>
      <c r="R60" s="33" t="str">
        <f t="shared" si="252"/>
        <v xml:space="preserve"> </v>
      </c>
      <c r="S60" s="33">
        <f t="shared" ca="1" si="252"/>
        <v>0</v>
      </c>
      <c r="T60" s="33" t="str">
        <f t="shared" ca="1" si="252"/>
        <v xml:space="preserve"> </v>
      </c>
      <c r="U60" s="33">
        <f t="shared" ca="1" si="252"/>
        <v>0</v>
      </c>
      <c r="V60" s="33">
        <f t="shared" ca="1" si="252"/>
        <v>0</v>
      </c>
      <c r="W60" s="33">
        <f t="shared" ca="1" si="252"/>
        <v>0</v>
      </c>
      <c r="X60" s="33">
        <f t="shared" ca="1" si="252"/>
        <v>0</v>
      </c>
      <c r="Y60" s="33" t="str">
        <f t="shared" si="252"/>
        <v xml:space="preserve"> </v>
      </c>
      <c r="Z60" s="33">
        <f t="shared" ca="1" si="252"/>
        <v>0</v>
      </c>
      <c r="AA60" s="33">
        <f t="shared" ca="1" si="252"/>
        <v>0</v>
      </c>
      <c r="AB60" s="33">
        <f t="shared" ca="1" si="252"/>
        <v>0</v>
      </c>
      <c r="AC60" s="33">
        <f t="shared" ca="1" si="252"/>
        <v>0</v>
      </c>
      <c r="AD60" s="33">
        <f t="shared" ca="1" si="252"/>
        <v>0</v>
      </c>
      <c r="AE60" s="33">
        <f t="shared" ca="1" si="252"/>
        <v>0</v>
      </c>
      <c r="AF60" s="33" t="str">
        <f t="shared" si="252"/>
        <v xml:space="preserve"> </v>
      </c>
      <c r="AG60" s="33">
        <f t="shared" ca="1" si="252"/>
        <v>0</v>
      </c>
      <c r="AH60" s="33">
        <f t="shared" ca="1" si="252"/>
        <v>0</v>
      </c>
      <c r="AI60" s="33">
        <f t="shared" ca="1" si="252"/>
        <v>0</v>
      </c>
      <c r="AJ60" s="34">
        <f t="shared" ca="1" si="251"/>
        <v>0</v>
      </c>
      <c r="AK60" s="35"/>
      <c r="AL60" s="35"/>
      <c r="AM60" s="35"/>
      <c r="AN60" s="35"/>
      <c r="AO60" s="36" t="s">
        <v>22</v>
      </c>
    </row>
    <row r="61" spans="1:41" ht="15.6" thickBot="1" x14ac:dyDescent="0.35">
      <c r="A61" s="14"/>
      <c r="B61" s="15" t="s">
        <v>22</v>
      </c>
      <c r="C61" s="47" t="s">
        <v>22</v>
      </c>
      <c r="D61" s="37" t="s">
        <v>69</v>
      </c>
      <c r="E61" s="9">
        <f t="shared" ref="E61:T61" ca="1" si="253">IF(OR(E$5="",E$5=0),-2,IF(E$6=$D62,-1,RAND()))</f>
        <v>0.78117234305981909</v>
      </c>
      <c r="F61" s="9">
        <f t="shared" ca="1" si="253"/>
        <v>-1</v>
      </c>
      <c r="G61" s="9">
        <f t="shared" ca="1" si="253"/>
        <v>0.30451863952239666</v>
      </c>
      <c r="H61" s="9">
        <f t="shared" ca="1" si="253"/>
        <v>0.87605275923443193</v>
      </c>
      <c r="I61" s="9">
        <f t="shared" ca="1" si="253"/>
        <v>0.32507704609979915</v>
      </c>
      <c r="J61" s="9">
        <f t="shared" ca="1" si="253"/>
        <v>0.57316323128786306</v>
      </c>
      <c r="K61" s="9">
        <f t="shared" ca="1" si="253"/>
        <v>0.74730862949448995</v>
      </c>
      <c r="L61" s="9">
        <f t="shared" ca="1" si="253"/>
        <v>0.45112561006333018</v>
      </c>
      <c r="M61" s="9">
        <f t="shared" ca="1" si="253"/>
        <v>-1</v>
      </c>
      <c r="N61" s="9">
        <f t="shared" ca="1" si="253"/>
        <v>0.47750810312190595</v>
      </c>
      <c r="O61" s="9">
        <f t="shared" ca="1" si="253"/>
        <v>0.40129412121763741</v>
      </c>
      <c r="P61" s="9">
        <f t="shared" ca="1" si="253"/>
        <v>0.23261829544059975</v>
      </c>
      <c r="Q61" s="9">
        <f t="shared" ca="1" si="253"/>
        <v>0.62734827507809177</v>
      </c>
      <c r="R61" s="9">
        <f t="shared" ca="1" si="253"/>
        <v>0.9998231247665702</v>
      </c>
      <c r="S61" s="9">
        <f t="shared" ca="1" si="253"/>
        <v>0.7833537153375868</v>
      </c>
      <c r="T61" s="9">
        <f t="shared" ca="1" si="253"/>
        <v>-1</v>
      </c>
      <c r="U61" s="9">
        <f t="shared" ref="U61:AI61" ca="1" si="254">IF(OR(U$5="",U$5=0),-2,IF(U$6=$D62,-1,RAND()))</f>
        <v>0.86639540053801656</v>
      </c>
      <c r="V61" s="9">
        <f t="shared" ca="1" si="254"/>
        <v>0.10359538035983296</v>
      </c>
      <c r="W61" s="9">
        <f t="shared" ca="1" si="254"/>
        <v>0.66399932902898151</v>
      </c>
      <c r="X61" s="9">
        <f t="shared" ca="1" si="254"/>
        <v>0.43388141600958041</v>
      </c>
      <c r="Y61" s="9">
        <f t="shared" ca="1" si="254"/>
        <v>0.91663613864802229</v>
      </c>
      <c r="Z61" s="9">
        <f t="shared" ca="1" si="254"/>
        <v>0.52702283033974195</v>
      </c>
      <c r="AA61" s="9">
        <f t="shared" ca="1" si="254"/>
        <v>-1</v>
      </c>
      <c r="AB61" s="9">
        <f t="shared" ca="1" si="254"/>
        <v>0.24647465690977566</v>
      </c>
      <c r="AC61" s="9">
        <f t="shared" ca="1" si="254"/>
        <v>0.29110761876838076</v>
      </c>
      <c r="AD61" s="9">
        <f t="shared" ca="1" si="254"/>
        <v>0.39665164205289405</v>
      </c>
      <c r="AE61" s="9">
        <f t="shared" ca="1" si="254"/>
        <v>0.96143368268378782</v>
      </c>
      <c r="AF61" s="9">
        <f t="shared" ca="1" si="254"/>
        <v>0.95645600679826348</v>
      </c>
      <c r="AG61" s="9">
        <f t="shared" ca="1" si="254"/>
        <v>0.3571859582123228</v>
      </c>
      <c r="AH61" s="9">
        <f t="shared" ca="1" si="254"/>
        <v>-1</v>
      </c>
      <c r="AI61" s="9">
        <f t="shared" ca="1" si="254"/>
        <v>0.73305827858506523</v>
      </c>
      <c r="AJ61" s="38"/>
      <c r="AK61" s="37"/>
      <c r="AL61" s="37"/>
      <c r="AM61" s="37"/>
      <c r="AN61" s="37"/>
      <c r="AO61" s="39" t="s">
        <v>22</v>
      </c>
    </row>
    <row r="62" spans="1:41" ht="15.6" thickBot="1" x14ac:dyDescent="0.35">
      <c r="A62" s="42"/>
      <c r="B62" s="44" t="s">
        <v>28</v>
      </c>
      <c r="C62" s="43" t="s">
        <v>50</v>
      </c>
      <c r="D62" s="37" t="s">
        <v>68</v>
      </c>
      <c r="E62" s="9" t="str">
        <f t="shared" ref="E62" ca="1" si="255">IF(OR(E$5="",E$5=0),"",IF(E$6=$D62,"W",IF(_xlfn.RANK.EQ(E61,$E61:$AI61,0)&lt;=INT($AO62),"P",IF(AND(_xlfn.RANK.EQ(E61,$E61:$AI61,0)=INT($AO62)+1,MOD($AO62,1)=0.5),"H","A"))))</f>
        <v>P</v>
      </c>
      <c r="F62" s="9" t="str">
        <f t="shared" ref="F62" si="256">IF(OR(F$5="",F$5=0),"",IF(F$6=$D62,"W",IF(_xlfn.RANK.EQ(F61,$E61:$AI61,0)&lt;=INT($AO62),"P",IF(AND(_xlfn.RANK.EQ(F61,$E61:$AI61,0)=INT($AO62)+1,MOD($AO62,1)=0.5),"H","A"))))</f>
        <v>W</v>
      </c>
      <c r="G62" s="9" t="str">
        <f t="shared" ref="G62" ca="1" si="257">IF(OR(G$5="",G$5=0),"",IF(G$6=$D62,"W",IF(_xlfn.RANK.EQ(G61,$E61:$AI61,0)&lt;=INT($AO62),"P",IF(AND(_xlfn.RANK.EQ(G61,$E61:$AI61,0)=INT($AO62)+1,MOD($AO62,1)=0.5),"H","A"))))</f>
        <v>P</v>
      </c>
      <c r="H62" s="9" t="str">
        <f t="shared" ref="H62" ca="1" si="258">IF(OR(H$5="",H$5=0),"",IF(H$6=$D62,"W",IF(_xlfn.RANK.EQ(H61,$E61:$AI61,0)&lt;=INT($AO62),"P",IF(AND(_xlfn.RANK.EQ(H61,$E61:$AI61,0)=INT($AO62)+1,MOD($AO62,1)=0.5),"H","A"))))</f>
        <v>P</v>
      </c>
      <c r="I62" s="9" t="str">
        <f t="shared" ref="I62" ca="1" si="259">IF(OR(I$5="",I$5=0),"",IF(I$6=$D62,"W",IF(_xlfn.RANK.EQ(I61,$E61:$AI61,0)&lt;=INT($AO62),"P",IF(AND(_xlfn.RANK.EQ(I61,$E61:$AI61,0)=INT($AO62)+1,MOD($AO62,1)=0.5),"H","A"))))</f>
        <v>P</v>
      </c>
      <c r="J62" s="9" t="str">
        <f t="shared" ref="J62" ca="1" si="260">IF(OR(J$5="",J$5=0),"",IF(J$6=$D62,"W",IF(_xlfn.RANK.EQ(J61,$E61:$AI61,0)&lt;=INT($AO62),"P",IF(AND(_xlfn.RANK.EQ(J61,$E61:$AI61,0)=INT($AO62)+1,MOD($AO62,1)=0.5),"H","A"))))</f>
        <v>P</v>
      </c>
      <c r="K62" s="9" t="str">
        <f t="shared" ref="K62" ca="1" si="261">IF(OR(K$5="",K$5=0),"",IF(K$6=$D62,"W",IF(_xlfn.RANK.EQ(K61,$E61:$AI61,0)&lt;=INT($AO62),"P",IF(AND(_xlfn.RANK.EQ(K61,$E61:$AI61,0)=INT($AO62)+1,MOD($AO62,1)=0.5),"H","A"))))</f>
        <v>P</v>
      </c>
      <c r="L62" s="9" t="str">
        <f t="shared" ref="L62" ca="1" si="262">IF(OR(L$5="",L$5=0),"",IF(L$6=$D62,"W",IF(_xlfn.RANK.EQ(L61,$E61:$AI61,0)&lt;=INT($AO62),"P",IF(AND(_xlfn.RANK.EQ(L61,$E61:$AI61,0)=INT($AO62)+1,MOD($AO62,1)=0.5),"H","A"))))</f>
        <v>P</v>
      </c>
      <c r="M62" s="9" t="str">
        <f t="shared" ref="M62" si="263">IF(OR(M$5="",M$5=0),"",IF(M$6=$D62,"W",IF(_xlfn.RANK.EQ(M61,$E61:$AI61,0)&lt;=INT($AO62),"P",IF(AND(_xlfn.RANK.EQ(M61,$E61:$AI61,0)=INT($AO62)+1,MOD($AO62,1)=0.5),"H","A"))))</f>
        <v>W</v>
      </c>
      <c r="N62" s="9" t="str">
        <f t="shared" ref="N62" ca="1" si="264">IF(OR(N$5="",N$5=0),"",IF(N$6=$D62,"W",IF(_xlfn.RANK.EQ(N61,$E61:$AI61,0)&lt;=INT($AO62),"P",IF(AND(_xlfn.RANK.EQ(N61,$E61:$AI61,0)=INT($AO62)+1,MOD($AO62,1)=0.5),"H","A"))))</f>
        <v>P</v>
      </c>
      <c r="O62" s="9" t="str">
        <f t="shared" ref="O62" ca="1" si="265">IF(OR(O$5="",O$5=0),"",IF(O$6=$D62,"W",IF(_xlfn.RANK.EQ(O61,$E61:$AI61,0)&lt;=INT($AO62),"P",IF(AND(_xlfn.RANK.EQ(O61,$E61:$AI61,0)=INT($AO62)+1,MOD($AO62,1)=0.5),"H","A"))))</f>
        <v>P</v>
      </c>
      <c r="P62" s="9" t="str">
        <f t="shared" ref="P62" ca="1" si="266">IF(OR(P$5="",P$5=0),"",IF(P$6=$D62,"W",IF(_xlfn.RANK.EQ(P61,$E61:$AI61,0)&lt;=INT($AO62),"P",IF(AND(_xlfn.RANK.EQ(P61,$E61:$AI61,0)=INT($AO62)+1,MOD($AO62,1)=0.5),"H","A"))))</f>
        <v>P</v>
      </c>
      <c r="Q62" s="9" t="str">
        <f t="shared" ref="Q62" ca="1" si="267">IF(OR(Q$5="",Q$5=0),"",IF(Q$6=$D62,"W",IF(_xlfn.RANK.EQ(Q61,$E61:$AI61,0)&lt;=INT($AO62),"P",IF(AND(_xlfn.RANK.EQ(Q61,$E61:$AI61,0)=INT($AO62)+1,MOD($AO62,1)=0.5),"H","A"))))</f>
        <v>P</v>
      </c>
      <c r="R62" s="9" t="str">
        <f t="shared" ref="R62" ca="1" si="268">IF(OR(R$5="",R$5=0),"",IF(R$6=$D62,"W",IF(_xlfn.RANK.EQ(R61,$E61:$AI61,0)&lt;=INT($AO62),"P",IF(AND(_xlfn.RANK.EQ(R61,$E61:$AI61,0)=INT($AO62)+1,MOD($AO62,1)=0.5),"H","A"))))</f>
        <v>P</v>
      </c>
      <c r="S62" s="9" t="str">
        <f t="shared" ref="S62" ca="1" si="269">IF(OR(S$5="",S$5=0),"",IF(S$6=$D62,"W",IF(_xlfn.RANK.EQ(S61,$E61:$AI61,0)&lt;=INT($AO62),"P",IF(AND(_xlfn.RANK.EQ(S61,$E61:$AI61,0)=INT($AO62)+1,MOD($AO62,1)=0.5),"H","A"))))</f>
        <v>P</v>
      </c>
      <c r="T62" s="9" t="str">
        <f t="shared" ref="T62" si="270">IF(OR(T$5="",T$5=0),"",IF(T$6=$D62,"W",IF(_xlfn.RANK.EQ(T61,$E61:$AI61,0)&lt;=INT($AO62),"P",IF(AND(_xlfn.RANK.EQ(T61,$E61:$AI61,0)=INT($AO62)+1,MOD($AO62,1)=0.5),"H","A"))))</f>
        <v>W</v>
      </c>
      <c r="U62" s="9" t="str">
        <f t="shared" ref="U62" ca="1" si="271">IF(OR(U$5="",U$5=0),"",IF(U$6=$D62,"W",IF(_xlfn.RANK.EQ(U61,$E61:$AI61,0)&lt;=INT($AO62),"P",IF(AND(_xlfn.RANK.EQ(U61,$E61:$AI61,0)=INT($AO62)+1,MOD($AO62,1)=0.5),"H","A"))))</f>
        <v>P</v>
      </c>
      <c r="V62" s="9" t="str">
        <f t="shared" ref="V62" ca="1" si="272">IF(OR(V$5="",V$5=0),"",IF(V$6=$D62,"W",IF(_xlfn.RANK.EQ(V61,$E61:$AI61,0)&lt;=INT($AO62),"P",IF(AND(_xlfn.RANK.EQ(V61,$E61:$AI61,0)=INT($AO62)+1,MOD($AO62,1)=0.5),"H","A"))))</f>
        <v>P</v>
      </c>
      <c r="W62" s="9" t="str">
        <f t="shared" ref="W62" ca="1" si="273">IF(OR(W$5="",W$5=0),"",IF(W$6=$D62,"W",IF(_xlfn.RANK.EQ(W61,$E61:$AI61,0)&lt;=INT($AO62),"P",IF(AND(_xlfn.RANK.EQ(W61,$E61:$AI61,0)=INT($AO62)+1,MOD($AO62,1)=0.5),"H","A"))))</f>
        <v>P</v>
      </c>
      <c r="X62" s="9" t="str">
        <f t="shared" ref="X62" ca="1" si="274">IF(OR(X$5="",X$5=0),"",IF(X$6=$D62,"W",IF(_xlfn.RANK.EQ(X61,$E61:$AI61,0)&lt;=INT($AO62),"P",IF(AND(_xlfn.RANK.EQ(X61,$E61:$AI61,0)=INT($AO62)+1,MOD($AO62,1)=0.5),"H","A"))))</f>
        <v>P</v>
      </c>
      <c r="Y62" s="9" t="str">
        <f t="shared" ref="Y62" ca="1" si="275">IF(OR(Y$5="",Y$5=0),"",IF(Y$6=$D62,"W",IF(_xlfn.RANK.EQ(Y61,$E61:$AI61,0)&lt;=INT($AO62),"P",IF(AND(_xlfn.RANK.EQ(Y61,$E61:$AI61,0)=INT($AO62)+1,MOD($AO62,1)=0.5),"H","A"))))</f>
        <v>P</v>
      </c>
      <c r="Z62" s="9" t="str">
        <f t="shared" ref="Z62" ca="1" si="276">IF(OR(Z$5="",Z$5=0),"",IF(Z$6=$D62,"W",IF(_xlfn.RANK.EQ(Z61,$E61:$AI61,0)&lt;=INT($AO62),"P",IF(AND(_xlfn.RANK.EQ(Z61,$E61:$AI61,0)=INT($AO62)+1,MOD($AO62,1)=0.5),"H","A"))))</f>
        <v>P</v>
      </c>
      <c r="AA62" s="9" t="str">
        <f t="shared" ref="AA62" si="277">IF(OR(AA$5="",AA$5=0),"",IF(AA$6=$D62,"W",IF(_xlfn.RANK.EQ(AA61,$E61:$AI61,0)&lt;=INT($AO62),"P",IF(AND(_xlfn.RANK.EQ(AA61,$E61:$AI61,0)=INT($AO62)+1,MOD($AO62,1)=0.5),"H","A"))))</f>
        <v>W</v>
      </c>
      <c r="AB62" s="9" t="str">
        <f t="shared" ref="AB62" ca="1" si="278">IF(OR(AB$5="",AB$5=0),"",IF(AB$6=$D62,"W",IF(_xlfn.RANK.EQ(AB61,$E61:$AI61,0)&lt;=INT($AO62),"P",IF(AND(_xlfn.RANK.EQ(AB61,$E61:$AI61,0)=INT($AO62)+1,MOD($AO62,1)=0.5),"H","A"))))</f>
        <v>P</v>
      </c>
      <c r="AC62" s="9" t="str">
        <f t="shared" ref="AC62" ca="1" si="279">IF(OR(AC$5="",AC$5=0),"",IF(AC$6=$D62,"W",IF(_xlfn.RANK.EQ(AC61,$E61:$AI61,0)&lt;=INT($AO62),"P",IF(AND(_xlfn.RANK.EQ(AC61,$E61:$AI61,0)=INT($AO62)+1,MOD($AO62,1)=0.5),"H","A"))))</f>
        <v>P</v>
      </c>
      <c r="AD62" s="9" t="str">
        <f t="shared" ref="AD62" ca="1" si="280">IF(OR(AD$5="",AD$5=0),"",IF(AD$6=$D62,"W",IF(_xlfn.RANK.EQ(AD61,$E61:$AI61,0)&lt;=INT($AO62),"P",IF(AND(_xlfn.RANK.EQ(AD61,$E61:$AI61,0)=INT($AO62)+1,MOD($AO62,1)=0.5),"H","A"))))</f>
        <v>P</v>
      </c>
      <c r="AE62" s="9" t="str">
        <f t="shared" ref="AE62" ca="1" si="281">IF(OR(AE$5="",AE$5=0),"",IF(AE$6=$D62,"W",IF(_xlfn.RANK.EQ(AE61,$E61:$AI61,0)&lt;=INT($AO62),"P",IF(AND(_xlfn.RANK.EQ(AE61,$E61:$AI61,0)=INT($AO62)+1,MOD($AO62,1)=0.5),"H","A"))))</f>
        <v>P</v>
      </c>
      <c r="AF62" s="9" t="str">
        <f t="shared" ref="AF62" ca="1" si="282">IF(OR(AF$5="",AF$5=0),"",IF(AF$6=$D62,"W",IF(_xlfn.RANK.EQ(AF61,$E61:$AI61,0)&lt;=INT($AO62),"P",IF(AND(_xlfn.RANK.EQ(AF61,$E61:$AI61,0)=INT($AO62)+1,MOD($AO62,1)=0.5),"H","A"))))</f>
        <v>P</v>
      </c>
      <c r="AG62" s="9" t="str">
        <f t="shared" ref="AG62" ca="1" si="283">IF(OR(AG$5="",AG$5=0),"",IF(AG$6=$D62,"W",IF(_xlfn.RANK.EQ(AG61,$E61:$AI61,0)&lt;=INT($AO62),"P",IF(AND(_xlfn.RANK.EQ(AG61,$E61:$AI61,0)=INT($AO62)+1,MOD($AO62,1)=0.5),"H","A"))))</f>
        <v>P</v>
      </c>
      <c r="AH62" s="9" t="str">
        <f t="shared" ref="AH62" si="284">IF(OR(AH$5="",AH$5=0),"",IF(AH$6=$D62,"W",IF(_xlfn.RANK.EQ(AH61,$E61:$AI61,0)&lt;=INT($AO62),"P",IF(AND(_xlfn.RANK.EQ(AH61,$E61:$AI61,0)=INT($AO62)+1,MOD($AO62,1)=0.5),"H","A"))))</f>
        <v>W</v>
      </c>
      <c r="AI62" s="9" t="str">
        <f t="shared" ref="AI62" ca="1" si="285">IF(OR(AI$5="",AI$5=0),"",IF(AI$6=$D62,"W",IF(_xlfn.RANK.EQ(AI61,$E61:$AI61,0)&lt;=INT($AO62),"P",IF(AND(_xlfn.RANK.EQ(AI61,$E61:$AI61,0)=INT($AO62)+1,MOD($AO62,1)=0.5),"H","A"))))</f>
        <v>P</v>
      </c>
      <c r="AJ62" s="16">
        <f t="shared" ref="AJ62" ca="1" si="286">COUNTIF(E62:AI62, "P")</f>
        <v>26</v>
      </c>
      <c r="AK62" s="17">
        <f t="shared" ref="AK62" ca="1" si="287">COUNTIF(E62:AH62, "A")</f>
        <v>0</v>
      </c>
      <c r="AL62" s="17">
        <f t="shared" ref="AL62" ca="1" si="288">COUNTIF(E62:AH62, "W")</f>
        <v>5</v>
      </c>
      <c r="AM62" s="17">
        <f t="shared" ref="AM62" ca="1" si="289">COUNTIF(E62:AH62, "H")</f>
        <v>0</v>
      </c>
      <c r="AN62" s="17">
        <f t="shared" ref="AN62" ca="1" si="290">COUNTIF(E62:AH62, "PL")</f>
        <v>0</v>
      </c>
      <c r="AO62" s="18">
        <v>26</v>
      </c>
    </row>
    <row r="63" spans="1:41" ht="15" x14ac:dyDescent="0.3">
      <c r="A63" s="19"/>
      <c r="B63" s="1" t="s">
        <v>22</v>
      </c>
      <c r="C63" s="48" t="s">
        <v>22</v>
      </c>
      <c r="D63" s="45" t="s">
        <v>1</v>
      </c>
      <c r="E63" s="20" t="str">
        <f t="shared" ref="E63:AH63" ca="1" si="291">IF(E62="P", IF($D61="G", TEXT(RAND()*(9.27-9.62)/24+9.62/24,"HH:MM"), IF($D61="A", TEXT(RAND()*(8.06-8.1)/24+8.15/24,"HH:MM"), IF($D61="B", TEXT(RAND()*(16.06-16.1)/24+16.15/24,"HH:MM"), IF($D61="C", TEXT(RAND()*(24.85-24.13)/24+24.13/24,"HH:MM"), " ")))), "")</f>
        <v>16:06</v>
      </c>
      <c r="F63" s="20" t="str">
        <f t="shared" ca="1" si="291"/>
        <v/>
      </c>
      <c r="G63" s="20" t="str">
        <f t="shared" ca="1" si="291"/>
        <v>16:08</v>
      </c>
      <c r="H63" s="20" t="str">
        <f t="shared" ca="1" si="291"/>
        <v>16:08</v>
      </c>
      <c r="I63" s="20" t="str">
        <f t="shared" ca="1" si="291"/>
        <v>16:07</v>
      </c>
      <c r="J63" s="20" t="str">
        <f t="shared" ca="1" si="291"/>
        <v>16:08</v>
      </c>
      <c r="K63" s="20" t="str">
        <f t="shared" ca="1" si="291"/>
        <v>16:07</v>
      </c>
      <c r="L63" s="20" t="str">
        <f t="shared" ca="1" si="291"/>
        <v>16:06</v>
      </c>
      <c r="M63" s="20" t="str">
        <f t="shared" ca="1" si="291"/>
        <v/>
      </c>
      <c r="N63" s="20" t="str">
        <f t="shared" ca="1" si="291"/>
        <v>16:07</v>
      </c>
      <c r="O63" s="20" t="str">
        <f t="shared" ca="1" si="291"/>
        <v>16:06</v>
      </c>
      <c r="P63" s="20" t="str">
        <f t="shared" ca="1" si="291"/>
        <v>16:06</v>
      </c>
      <c r="Q63" s="20" t="str">
        <f t="shared" ca="1" si="291"/>
        <v>16:07</v>
      </c>
      <c r="R63" s="20" t="str">
        <f t="shared" ca="1" si="291"/>
        <v>16:07</v>
      </c>
      <c r="S63" s="20" t="str">
        <f t="shared" ca="1" si="291"/>
        <v>16:07</v>
      </c>
      <c r="T63" s="20" t="str">
        <f t="shared" ca="1" si="291"/>
        <v/>
      </c>
      <c r="U63" s="20" t="str">
        <f t="shared" ca="1" si="291"/>
        <v>16:07</v>
      </c>
      <c r="V63" s="20" t="str">
        <f t="shared" ca="1" si="291"/>
        <v>16:07</v>
      </c>
      <c r="W63" s="20" t="str">
        <f t="shared" ca="1" si="291"/>
        <v>16:07</v>
      </c>
      <c r="X63" s="20" t="str">
        <f t="shared" ca="1" si="291"/>
        <v>16:06</v>
      </c>
      <c r="Y63" s="20" t="str">
        <f t="shared" ca="1" si="291"/>
        <v>16:08</v>
      </c>
      <c r="Z63" s="20" t="str">
        <f t="shared" ca="1" si="291"/>
        <v>16:08</v>
      </c>
      <c r="AA63" s="20" t="str">
        <f t="shared" ca="1" si="291"/>
        <v/>
      </c>
      <c r="AB63" s="20" t="str">
        <f t="shared" ca="1" si="291"/>
        <v>16:08</v>
      </c>
      <c r="AC63" s="20" t="str">
        <f t="shared" ca="1" si="291"/>
        <v>16:08</v>
      </c>
      <c r="AD63" s="20" t="str">
        <f t="shared" ca="1" si="291"/>
        <v>16:08</v>
      </c>
      <c r="AE63" s="20" t="str">
        <f t="shared" ca="1" si="291"/>
        <v>16:06</v>
      </c>
      <c r="AF63" s="20" t="str">
        <f t="shared" ca="1" si="291"/>
        <v>16:07</v>
      </c>
      <c r="AG63" s="20" t="str">
        <f t="shared" ca="1" si="291"/>
        <v>16:09</v>
      </c>
      <c r="AH63" s="20" t="str">
        <f t="shared" ca="1" si="291"/>
        <v/>
      </c>
      <c r="AI63" s="20" t="str">
        <f t="shared" ca="1" si="244"/>
        <v>16:08</v>
      </c>
      <c r="AJ63" s="21"/>
      <c r="AK63" s="22"/>
      <c r="AL63" s="22"/>
      <c r="AM63" s="22"/>
      <c r="AN63" s="22"/>
      <c r="AO63" s="23" t="s">
        <v>22</v>
      </c>
    </row>
    <row r="64" spans="1:41" ht="15" x14ac:dyDescent="0.3">
      <c r="A64" s="19"/>
      <c r="B64" s="1" t="s">
        <v>22</v>
      </c>
      <c r="C64" s="48" t="s">
        <v>22</v>
      </c>
      <c r="D64" s="45" t="s">
        <v>2</v>
      </c>
      <c r="E64" s="20" t="str">
        <f t="shared" ref="E64:AH64" ca="1" si="292">IF(E62="P", IF($D61="G", TEXT(RAND()*(18.85-18.13)/24+18.13/24,"HH:MM"), IF($D61="A", TEXT(RAND()*(16.85-16.13)/24+16.13/24,"HH:MM"), IF($D61="B", TEXT(RAND()*(24.85-24.13)/24+24.13/24,"HH:MM"), IF($D61="C", TEXT(RAND()*(8.85-8.13)/24+8.13/24,"HH:MM"), " ")))), "")</f>
        <v>00:09</v>
      </c>
      <c r="F64" s="20" t="str">
        <f t="shared" ca="1" si="292"/>
        <v/>
      </c>
      <c r="G64" s="20" t="str">
        <f t="shared" ca="1" si="292"/>
        <v>00:38</v>
      </c>
      <c r="H64" s="20" t="str">
        <f t="shared" ca="1" si="292"/>
        <v>00:42</v>
      </c>
      <c r="I64" s="20" t="str">
        <f t="shared" ca="1" si="292"/>
        <v>00:40</v>
      </c>
      <c r="J64" s="20" t="str">
        <f t="shared" ca="1" si="292"/>
        <v>00:13</v>
      </c>
      <c r="K64" s="20" t="str">
        <f t="shared" ca="1" si="292"/>
        <v>00:34</v>
      </c>
      <c r="L64" s="20" t="str">
        <f t="shared" ca="1" si="292"/>
        <v>00:09</v>
      </c>
      <c r="M64" s="20" t="str">
        <f t="shared" ca="1" si="292"/>
        <v/>
      </c>
      <c r="N64" s="20" t="str">
        <f t="shared" ca="1" si="292"/>
        <v>00:37</v>
      </c>
      <c r="O64" s="20" t="str">
        <f t="shared" ca="1" si="292"/>
        <v>00:17</v>
      </c>
      <c r="P64" s="20" t="str">
        <f t="shared" ca="1" si="292"/>
        <v>00:17</v>
      </c>
      <c r="Q64" s="20" t="str">
        <f t="shared" ca="1" si="292"/>
        <v>00:21</v>
      </c>
      <c r="R64" s="20" t="str">
        <f t="shared" ca="1" si="292"/>
        <v>00:09</v>
      </c>
      <c r="S64" s="20" t="str">
        <f t="shared" ca="1" si="292"/>
        <v>00:34</v>
      </c>
      <c r="T64" s="20" t="str">
        <f t="shared" ca="1" si="292"/>
        <v/>
      </c>
      <c r="U64" s="20" t="str">
        <f t="shared" ca="1" si="292"/>
        <v>00:34</v>
      </c>
      <c r="V64" s="20" t="str">
        <f t="shared" ca="1" si="292"/>
        <v>00:35</v>
      </c>
      <c r="W64" s="20" t="str">
        <f t="shared" ca="1" si="292"/>
        <v>00:40</v>
      </c>
      <c r="X64" s="20" t="str">
        <f t="shared" ca="1" si="292"/>
        <v>00:25</v>
      </c>
      <c r="Y64" s="20" t="str">
        <f t="shared" ca="1" si="292"/>
        <v>00:26</v>
      </c>
      <c r="Z64" s="20" t="str">
        <f t="shared" ca="1" si="292"/>
        <v>00:20</v>
      </c>
      <c r="AA64" s="20" t="str">
        <f t="shared" ca="1" si="292"/>
        <v/>
      </c>
      <c r="AB64" s="20" t="str">
        <f t="shared" ca="1" si="292"/>
        <v>00:46</v>
      </c>
      <c r="AC64" s="20" t="str">
        <f t="shared" ca="1" si="292"/>
        <v>00:30</v>
      </c>
      <c r="AD64" s="20" t="str">
        <f t="shared" ca="1" si="292"/>
        <v>00:36</v>
      </c>
      <c r="AE64" s="20" t="str">
        <f t="shared" ca="1" si="292"/>
        <v>00:46</v>
      </c>
      <c r="AF64" s="20" t="str">
        <f t="shared" ca="1" si="292"/>
        <v>00:50</v>
      </c>
      <c r="AG64" s="20" t="str">
        <f t="shared" ca="1" si="292"/>
        <v>00:35</v>
      </c>
      <c r="AH64" s="20" t="str">
        <f t="shared" ca="1" si="292"/>
        <v/>
      </c>
      <c r="AI64" s="20" t="str">
        <f t="shared" ca="1" si="245"/>
        <v>00:15</v>
      </c>
      <c r="AJ64" s="24" t="s">
        <v>13</v>
      </c>
      <c r="AK64" s="25"/>
      <c r="AL64" s="25"/>
      <c r="AM64" s="25"/>
      <c r="AN64" s="25"/>
      <c r="AO64" s="23" t="s">
        <v>22</v>
      </c>
    </row>
    <row r="65" spans="1:41" ht="15" x14ac:dyDescent="0.3">
      <c r="A65" s="26"/>
      <c r="B65" s="1" t="s">
        <v>22</v>
      </c>
      <c r="C65" s="48" t="s">
        <v>22</v>
      </c>
      <c r="D65" s="45" t="s">
        <v>14</v>
      </c>
      <c r="E65" s="27">
        <f t="shared" ref="E65:AH65" ca="1" si="293">IF(E62="P", MOD(E64-E63, 1), " ")</f>
        <v>0.3354166666666667</v>
      </c>
      <c r="F65" s="27" t="str">
        <f t="shared" si="293"/>
        <v xml:space="preserve"> </v>
      </c>
      <c r="G65" s="27">
        <f t="shared" ca="1" si="293"/>
        <v>0.35416666666666663</v>
      </c>
      <c r="H65" s="27">
        <f t="shared" ca="1" si="293"/>
        <v>0.3569444444444444</v>
      </c>
      <c r="I65" s="27">
        <f t="shared" ca="1" si="293"/>
        <v>0.35625000000000007</v>
      </c>
      <c r="J65" s="27">
        <f t="shared" ca="1" si="293"/>
        <v>0.33680555555555547</v>
      </c>
      <c r="K65" s="27">
        <f t="shared" ca="1" si="293"/>
        <v>0.35208333333333341</v>
      </c>
      <c r="L65" s="27">
        <f t="shared" ca="1" si="293"/>
        <v>0.3354166666666667</v>
      </c>
      <c r="M65" s="27" t="str">
        <f t="shared" si="293"/>
        <v xml:space="preserve"> </v>
      </c>
      <c r="N65" s="27">
        <f t="shared" ca="1" si="293"/>
        <v>0.35416666666666674</v>
      </c>
      <c r="O65" s="27">
        <f t="shared" ca="1" si="293"/>
        <v>0.34097222222222223</v>
      </c>
      <c r="P65" s="27">
        <f t="shared" ca="1" si="293"/>
        <v>0.34097222222222223</v>
      </c>
      <c r="Q65" s="27">
        <f t="shared" ca="1" si="293"/>
        <v>0.34305555555555556</v>
      </c>
      <c r="R65" s="27">
        <f t="shared" ca="1" si="293"/>
        <v>0.33472222222222225</v>
      </c>
      <c r="S65" s="27">
        <f t="shared" ca="1" si="293"/>
        <v>0.35208333333333341</v>
      </c>
      <c r="T65" s="27" t="str">
        <f t="shared" si="293"/>
        <v xml:space="preserve"> </v>
      </c>
      <c r="U65" s="27">
        <f t="shared" ca="1" si="293"/>
        <v>0.35208333333333341</v>
      </c>
      <c r="V65" s="27">
        <f t="shared" ca="1" si="293"/>
        <v>0.35277777777777786</v>
      </c>
      <c r="W65" s="27">
        <f t="shared" ca="1" si="293"/>
        <v>0.35625000000000007</v>
      </c>
      <c r="X65" s="27">
        <f t="shared" ca="1" si="293"/>
        <v>0.34652777777777788</v>
      </c>
      <c r="Y65" s="27">
        <f t="shared" ca="1" si="293"/>
        <v>0.34583333333333333</v>
      </c>
      <c r="Z65" s="27">
        <f t="shared" ca="1" si="293"/>
        <v>0.34166666666666656</v>
      </c>
      <c r="AA65" s="27" t="str">
        <f t="shared" si="293"/>
        <v xml:space="preserve"> </v>
      </c>
      <c r="AB65" s="27">
        <f t="shared" ca="1" si="293"/>
        <v>0.35972222222222217</v>
      </c>
      <c r="AC65" s="27">
        <f t="shared" ca="1" si="293"/>
        <v>0.34861111111111109</v>
      </c>
      <c r="AD65" s="27">
        <f t="shared" ca="1" si="293"/>
        <v>0.35277777777777775</v>
      </c>
      <c r="AE65" s="27">
        <f t="shared" ca="1" si="293"/>
        <v>0.36111111111111116</v>
      </c>
      <c r="AF65" s="27">
        <f t="shared" ca="1" si="293"/>
        <v>0.36319444444444449</v>
      </c>
      <c r="AG65" s="27">
        <f t="shared" ca="1" si="293"/>
        <v>0.35138888888888886</v>
      </c>
      <c r="AH65" s="27" t="str">
        <f t="shared" si="293"/>
        <v xml:space="preserve"> </v>
      </c>
      <c r="AI65" s="27">
        <f t="shared" ca="1" si="246"/>
        <v>0.33819444444444435</v>
      </c>
      <c r="AJ65" s="28">
        <f t="shared" ref="AJ65" ca="1" si="294">AJ62*8</f>
        <v>208</v>
      </c>
      <c r="AK65" s="29"/>
      <c r="AL65" s="29"/>
      <c r="AM65" s="29"/>
      <c r="AN65" s="29"/>
      <c r="AO65" s="23" t="s">
        <v>22</v>
      </c>
    </row>
    <row r="66" spans="1:41" ht="15" x14ac:dyDescent="0.3">
      <c r="A66" s="26"/>
      <c r="B66" s="1" t="s">
        <v>22</v>
      </c>
      <c r="C66" s="48" t="s">
        <v>22</v>
      </c>
      <c r="D66" s="45" t="s">
        <v>19</v>
      </c>
      <c r="E66" s="27" t="str">
        <f t="shared" ref="E66:AH66" ca="1" si="295">IF(E62="P","08:00"," ")</f>
        <v>08:00</v>
      </c>
      <c r="F66" s="27" t="str">
        <f t="shared" si="295"/>
        <v xml:space="preserve"> </v>
      </c>
      <c r="G66" s="27" t="str">
        <f t="shared" ca="1" si="295"/>
        <v>08:00</v>
      </c>
      <c r="H66" s="27" t="str">
        <f t="shared" ca="1" si="295"/>
        <v>08:00</v>
      </c>
      <c r="I66" s="27" t="str">
        <f t="shared" ca="1" si="295"/>
        <v>08:00</v>
      </c>
      <c r="J66" s="27" t="str">
        <f t="shared" ca="1" si="295"/>
        <v>08:00</v>
      </c>
      <c r="K66" s="27" t="str">
        <f t="shared" ca="1" si="295"/>
        <v>08:00</v>
      </c>
      <c r="L66" s="27" t="str">
        <f t="shared" ca="1" si="295"/>
        <v>08:00</v>
      </c>
      <c r="M66" s="27" t="str">
        <f t="shared" si="295"/>
        <v xml:space="preserve"> </v>
      </c>
      <c r="N66" s="27" t="str">
        <f t="shared" ca="1" si="295"/>
        <v>08:00</v>
      </c>
      <c r="O66" s="27" t="str">
        <f t="shared" ca="1" si="295"/>
        <v>08:00</v>
      </c>
      <c r="P66" s="27" t="str">
        <f t="shared" ca="1" si="295"/>
        <v>08:00</v>
      </c>
      <c r="Q66" s="27" t="str">
        <f t="shared" ca="1" si="295"/>
        <v>08:00</v>
      </c>
      <c r="R66" s="27" t="str">
        <f t="shared" ca="1" si="295"/>
        <v>08:00</v>
      </c>
      <c r="S66" s="27" t="str">
        <f t="shared" ca="1" si="295"/>
        <v>08:00</v>
      </c>
      <c r="T66" s="27" t="str">
        <f t="shared" si="295"/>
        <v xml:space="preserve"> </v>
      </c>
      <c r="U66" s="27" t="str">
        <f t="shared" ca="1" si="295"/>
        <v>08:00</v>
      </c>
      <c r="V66" s="27" t="str">
        <f t="shared" ca="1" si="295"/>
        <v>08:00</v>
      </c>
      <c r="W66" s="27" t="str">
        <f t="shared" ca="1" si="295"/>
        <v>08:00</v>
      </c>
      <c r="X66" s="27" t="str">
        <f t="shared" ca="1" si="295"/>
        <v>08:00</v>
      </c>
      <c r="Y66" s="27" t="str">
        <f t="shared" ca="1" si="295"/>
        <v>08:00</v>
      </c>
      <c r="Z66" s="27" t="str">
        <f t="shared" ca="1" si="295"/>
        <v>08:00</v>
      </c>
      <c r="AA66" s="27" t="str">
        <f t="shared" si="295"/>
        <v xml:space="preserve"> </v>
      </c>
      <c r="AB66" s="27" t="str">
        <f t="shared" ca="1" si="295"/>
        <v>08:00</v>
      </c>
      <c r="AC66" s="27" t="str">
        <f t="shared" ca="1" si="295"/>
        <v>08:00</v>
      </c>
      <c r="AD66" s="27" t="str">
        <f t="shared" ca="1" si="295"/>
        <v>08:00</v>
      </c>
      <c r="AE66" s="27" t="str">
        <f t="shared" ca="1" si="295"/>
        <v>08:00</v>
      </c>
      <c r="AF66" s="27" t="str">
        <f t="shared" ca="1" si="295"/>
        <v>08:00</v>
      </c>
      <c r="AG66" s="27" t="str">
        <f t="shared" ca="1" si="295"/>
        <v>08:00</v>
      </c>
      <c r="AH66" s="27" t="str">
        <f t="shared" si="295"/>
        <v xml:space="preserve"> </v>
      </c>
      <c r="AI66" s="27" t="str">
        <f t="shared" ca="1" si="248"/>
        <v>08:00</v>
      </c>
      <c r="AJ66" s="28"/>
      <c r="AK66" s="29"/>
      <c r="AL66" s="29"/>
      <c r="AM66" s="29"/>
      <c r="AN66" s="29"/>
      <c r="AO66" s="23" t="s">
        <v>22</v>
      </c>
    </row>
    <row r="67" spans="1:41" ht="15" x14ac:dyDescent="0.3">
      <c r="A67" s="26"/>
      <c r="B67" s="1" t="s">
        <v>22</v>
      </c>
      <c r="C67" s="48" t="s">
        <v>22</v>
      </c>
      <c r="D67" s="45" t="s">
        <v>12</v>
      </c>
      <c r="E67" s="27" t="str">
        <f t="shared" ref="E67:AH67" ca="1" si="296">IF(E62="P","01:00"," ")</f>
        <v>01:00</v>
      </c>
      <c r="F67" s="27" t="str">
        <f t="shared" si="296"/>
        <v xml:space="preserve"> </v>
      </c>
      <c r="G67" s="27" t="str">
        <f t="shared" ca="1" si="296"/>
        <v>01:00</v>
      </c>
      <c r="H67" s="27" t="str">
        <f t="shared" ca="1" si="296"/>
        <v>01:00</v>
      </c>
      <c r="I67" s="27" t="str">
        <f t="shared" ca="1" si="296"/>
        <v>01:00</v>
      </c>
      <c r="J67" s="27" t="str">
        <f t="shared" ca="1" si="296"/>
        <v>01:00</v>
      </c>
      <c r="K67" s="27" t="str">
        <f t="shared" ca="1" si="296"/>
        <v>01:00</v>
      </c>
      <c r="L67" s="27" t="str">
        <f t="shared" ca="1" si="296"/>
        <v>01:00</v>
      </c>
      <c r="M67" s="27" t="str">
        <f t="shared" si="296"/>
        <v xml:space="preserve"> </v>
      </c>
      <c r="N67" s="27" t="str">
        <f t="shared" ca="1" si="296"/>
        <v>01:00</v>
      </c>
      <c r="O67" s="27" t="str">
        <f t="shared" ca="1" si="296"/>
        <v>01:00</v>
      </c>
      <c r="P67" s="27" t="str">
        <f t="shared" ca="1" si="296"/>
        <v>01:00</v>
      </c>
      <c r="Q67" s="27" t="str">
        <f t="shared" ca="1" si="296"/>
        <v>01:00</v>
      </c>
      <c r="R67" s="27" t="str">
        <f t="shared" ca="1" si="296"/>
        <v>01:00</v>
      </c>
      <c r="S67" s="27" t="str">
        <f t="shared" ca="1" si="296"/>
        <v>01:00</v>
      </c>
      <c r="T67" s="27" t="str">
        <f t="shared" si="296"/>
        <v xml:space="preserve"> </v>
      </c>
      <c r="U67" s="27" t="str">
        <f t="shared" ca="1" si="296"/>
        <v>01:00</v>
      </c>
      <c r="V67" s="27" t="str">
        <f t="shared" ca="1" si="296"/>
        <v>01:00</v>
      </c>
      <c r="W67" s="27" t="str">
        <f t="shared" ca="1" si="296"/>
        <v>01:00</v>
      </c>
      <c r="X67" s="27" t="str">
        <f t="shared" ca="1" si="296"/>
        <v>01:00</v>
      </c>
      <c r="Y67" s="27" t="str">
        <f t="shared" ca="1" si="296"/>
        <v>01:00</v>
      </c>
      <c r="Z67" s="27" t="str">
        <f t="shared" ca="1" si="296"/>
        <v>01:00</v>
      </c>
      <c r="AA67" s="27" t="str">
        <f t="shared" si="296"/>
        <v xml:space="preserve"> </v>
      </c>
      <c r="AB67" s="27" t="str">
        <f t="shared" ca="1" si="296"/>
        <v>01:00</v>
      </c>
      <c r="AC67" s="27" t="str">
        <f t="shared" ca="1" si="296"/>
        <v>01:00</v>
      </c>
      <c r="AD67" s="27" t="str">
        <f t="shared" ca="1" si="296"/>
        <v>01:00</v>
      </c>
      <c r="AE67" s="27" t="str">
        <f t="shared" ca="1" si="296"/>
        <v>01:00</v>
      </c>
      <c r="AF67" s="27" t="str">
        <f t="shared" ca="1" si="296"/>
        <v>01:00</v>
      </c>
      <c r="AG67" s="27" t="str">
        <f t="shared" ca="1" si="296"/>
        <v>01:00</v>
      </c>
      <c r="AH67" s="27" t="str">
        <f t="shared" si="296"/>
        <v xml:space="preserve"> </v>
      </c>
      <c r="AI67" s="27" t="str">
        <f t="shared" ca="1" si="249"/>
        <v>01:00</v>
      </c>
      <c r="AJ67" s="24" t="s">
        <v>11</v>
      </c>
      <c r="AK67" s="25"/>
      <c r="AL67" s="25"/>
      <c r="AM67" s="25"/>
      <c r="AN67" s="25"/>
      <c r="AO67" s="23" t="s">
        <v>22</v>
      </c>
    </row>
    <row r="68" spans="1:41" ht="15" x14ac:dyDescent="0.3">
      <c r="A68" s="26"/>
      <c r="B68" s="1" t="s">
        <v>22</v>
      </c>
      <c r="C68" s="48" t="s">
        <v>22</v>
      </c>
      <c r="D68" s="45" t="s">
        <v>11</v>
      </c>
      <c r="E68" s="27">
        <f t="shared" ref="E68:AH68" ca="1" si="297">IF(E62="P",E65-E67," ")</f>
        <v>0.29375000000000001</v>
      </c>
      <c r="F68" s="27" t="str">
        <f t="shared" si="297"/>
        <v xml:space="preserve"> </v>
      </c>
      <c r="G68" s="27">
        <f t="shared" ca="1" si="297"/>
        <v>0.31249999999999994</v>
      </c>
      <c r="H68" s="27">
        <f t="shared" ca="1" si="297"/>
        <v>0.31527777777777771</v>
      </c>
      <c r="I68" s="27">
        <f t="shared" ca="1" si="297"/>
        <v>0.31458333333333338</v>
      </c>
      <c r="J68" s="27">
        <f t="shared" ca="1" si="297"/>
        <v>0.29513888888888878</v>
      </c>
      <c r="K68" s="27">
        <f t="shared" ca="1" si="297"/>
        <v>0.31041666666666673</v>
      </c>
      <c r="L68" s="27">
        <f t="shared" ca="1" si="297"/>
        <v>0.29375000000000001</v>
      </c>
      <c r="M68" s="27" t="str">
        <f t="shared" si="297"/>
        <v xml:space="preserve"> </v>
      </c>
      <c r="N68" s="27">
        <f t="shared" ca="1" si="297"/>
        <v>0.31250000000000006</v>
      </c>
      <c r="O68" s="27">
        <f t="shared" ca="1" si="297"/>
        <v>0.29930555555555555</v>
      </c>
      <c r="P68" s="27">
        <f t="shared" ca="1" si="297"/>
        <v>0.29930555555555555</v>
      </c>
      <c r="Q68" s="27">
        <f t="shared" ca="1" si="297"/>
        <v>0.30138888888888887</v>
      </c>
      <c r="R68" s="27">
        <f t="shared" ca="1" si="297"/>
        <v>0.29305555555555557</v>
      </c>
      <c r="S68" s="27">
        <f t="shared" ca="1" si="297"/>
        <v>0.31041666666666673</v>
      </c>
      <c r="T68" s="27" t="str">
        <f t="shared" si="297"/>
        <v xml:space="preserve"> </v>
      </c>
      <c r="U68" s="27">
        <f t="shared" ca="1" si="297"/>
        <v>0.31041666666666673</v>
      </c>
      <c r="V68" s="27">
        <f t="shared" ca="1" si="297"/>
        <v>0.31111111111111117</v>
      </c>
      <c r="W68" s="27">
        <f t="shared" ca="1" si="297"/>
        <v>0.31458333333333338</v>
      </c>
      <c r="X68" s="27">
        <f t="shared" ca="1" si="297"/>
        <v>0.30486111111111119</v>
      </c>
      <c r="Y68" s="27">
        <f t="shared" ca="1" si="297"/>
        <v>0.30416666666666664</v>
      </c>
      <c r="Z68" s="27">
        <f t="shared" ca="1" si="297"/>
        <v>0.29999999999999988</v>
      </c>
      <c r="AA68" s="27" t="str">
        <f t="shared" si="297"/>
        <v xml:space="preserve"> </v>
      </c>
      <c r="AB68" s="27">
        <f t="shared" ca="1" si="297"/>
        <v>0.31805555555555548</v>
      </c>
      <c r="AC68" s="27">
        <f t="shared" ca="1" si="297"/>
        <v>0.30694444444444441</v>
      </c>
      <c r="AD68" s="27">
        <f t="shared" ca="1" si="297"/>
        <v>0.31111111111111106</v>
      </c>
      <c r="AE68" s="27">
        <f t="shared" ca="1" si="297"/>
        <v>0.31944444444444448</v>
      </c>
      <c r="AF68" s="27">
        <f t="shared" ca="1" si="297"/>
        <v>0.3215277777777778</v>
      </c>
      <c r="AG68" s="27">
        <f t="shared" ca="1" si="297"/>
        <v>0.30972222222222218</v>
      </c>
      <c r="AH68" s="27" t="str">
        <f t="shared" si="297"/>
        <v xml:space="preserve"> </v>
      </c>
      <c r="AI68" s="27">
        <f t="shared" ca="1" si="250"/>
        <v>0.29652777777777767</v>
      </c>
      <c r="AJ68" s="30">
        <f t="shared" ref="AJ68:AJ69" ca="1" si="298">SUM(E68:AH68)</f>
        <v>7.6833333333333327</v>
      </c>
      <c r="AK68" s="25"/>
      <c r="AL68" s="25"/>
      <c r="AM68" s="25"/>
      <c r="AN68" s="25"/>
      <c r="AO68" s="23" t="s">
        <v>22</v>
      </c>
    </row>
    <row r="69" spans="1:41" ht="15.6" thickBot="1" x14ac:dyDescent="0.35">
      <c r="A69" s="31"/>
      <c r="B69" s="32" t="s">
        <v>22</v>
      </c>
      <c r="C69" s="49" t="s">
        <v>22</v>
      </c>
      <c r="D69" s="46" t="s">
        <v>20</v>
      </c>
      <c r="E69" s="33">
        <f t="shared" ref="E69:AH69" ca="1" si="299">IF(E62="P",(IF(E66&gt;E68,0,E68-E66))," ")</f>
        <v>0</v>
      </c>
      <c r="F69" s="33" t="str">
        <f t="shared" si="299"/>
        <v xml:space="preserve"> </v>
      </c>
      <c r="G69" s="33">
        <f t="shared" ca="1" si="299"/>
        <v>0</v>
      </c>
      <c r="H69" s="33">
        <f t="shared" ca="1" si="299"/>
        <v>0</v>
      </c>
      <c r="I69" s="33">
        <f t="shared" ca="1" si="299"/>
        <v>0</v>
      </c>
      <c r="J69" s="33">
        <f t="shared" ca="1" si="299"/>
        <v>0</v>
      </c>
      <c r="K69" s="33">
        <f t="shared" ca="1" si="299"/>
        <v>0</v>
      </c>
      <c r="L69" s="33">
        <f t="shared" ca="1" si="299"/>
        <v>0</v>
      </c>
      <c r="M69" s="33" t="str">
        <f t="shared" si="299"/>
        <v xml:space="preserve"> </v>
      </c>
      <c r="N69" s="33">
        <f t="shared" ca="1" si="299"/>
        <v>0</v>
      </c>
      <c r="O69" s="33">
        <f t="shared" ca="1" si="299"/>
        <v>0</v>
      </c>
      <c r="P69" s="33">
        <f t="shared" ca="1" si="299"/>
        <v>0</v>
      </c>
      <c r="Q69" s="33">
        <f t="shared" ca="1" si="299"/>
        <v>0</v>
      </c>
      <c r="R69" s="33">
        <f t="shared" ca="1" si="299"/>
        <v>0</v>
      </c>
      <c r="S69" s="33">
        <f t="shared" ca="1" si="299"/>
        <v>0</v>
      </c>
      <c r="T69" s="33" t="str">
        <f t="shared" si="299"/>
        <v xml:space="preserve"> </v>
      </c>
      <c r="U69" s="33">
        <f t="shared" ca="1" si="299"/>
        <v>0</v>
      </c>
      <c r="V69" s="33">
        <f t="shared" ca="1" si="299"/>
        <v>0</v>
      </c>
      <c r="W69" s="33">
        <f t="shared" ca="1" si="299"/>
        <v>0</v>
      </c>
      <c r="X69" s="33">
        <f t="shared" ca="1" si="299"/>
        <v>0</v>
      </c>
      <c r="Y69" s="33">
        <f t="shared" ca="1" si="299"/>
        <v>0</v>
      </c>
      <c r="Z69" s="33">
        <f t="shared" ca="1" si="299"/>
        <v>0</v>
      </c>
      <c r="AA69" s="33" t="str">
        <f t="shared" si="299"/>
        <v xml:space="preserve"> </v>
      </c>
      <c r="AB69" s="33">
        <f t="shared" ca="1" si="299"/>
        <v>0</v>
      </c>
      <c r="AC69" s="33">
        <f t="shared" ca="1" si="299"/>
        <v>0</v>
      </c>
      <c r="AD69" s="33">
        <f t="shared" ca="1" si="299"/>
        <v>0</v>
      </c>
      <c r="AE69" s="33">
        <f t="shared" ca="1" si="299"/>
        <v>0</v>
      </c>
      <c r="AF69" s="33">
        <f t="shared" ca="1" si="299"/>
        <v>0</v>
      </c>
      <c r="AG69" s="33">
        <f t="shared" ca="1" si="299"/>
        <v>0</v>
      </c>
      <c r="AH69" s="33" t="str">
        <f t="shared" si="299"/>
        <v xml:space="preserve"> </v>
      </c>
      <c r="AI69" s="33">
        <f t="shared" ca="1" si="252"/>
        <v>0</v>
      </c>
      <c r="AJ69" s="34">
        <f t="shared" ca="1" si="298"/>
        <v>0</v>
      </c>
      <c r="AK69" s="35"/>
      <c r="AL69" s="35"/>
      <c r="AM69" s="35"/>
      <c r="AN69" s="35"/>
      <c r="AO69" s="36" t="s">
        <v>22</v>
      </c>
    </row>
    <row r="70" spans="1:41" ht="15.6" thickBot="1" x14ac:dyDescent="0.35">
      <c r="A70" s="14"/>
      <c r="B70" s="15" t="s">
        <v>22</v>
      </c>
      <c r="C70" s="47" t="s">
        <v>22</v>
      </c>
      <c r="D70" s="37" t="s">
        <v>69</v>
      </c>
      <c r="E70" s="9">
        <f t="shared" ref="E70:T70" ca="1" si="300">IF(OR(E$5="",E$5=0),-2,IF(E$6=$D71,-1,RAND()))</f>
        <v>0.41153939862326916</v>
      </c>
      <c r="F70" s="9">
        <f t="shared" ca="1" si="300"/>
        <v>0.42714482222647798</v>
      </c>
      <c r="G70" s="9">
        <f t="shared" ca="1" si="300"/>
        <v>-1</v>
      </c>
      <c r="H70" s="9">
        <f t="shared" ca="1" si="300"/>
        <v>7.877585028680234E-2</v>
      </c>
      <c r="I70" s="9">
        <f t="shared" ca="1" si="300"/>
        <v>0.2670608746096711</v>
      </c>
      <c r="J70" s="9">
        <f t="shared" ca="1" si="300"/>
        <v>0.20698415067714127</v>
      </c>
      <c r="K70" s="9">
        <f t="shared" ca="1" si="300"/>
        <v>0.57505759485016661</v>
      </c>
      <c r="L70" s="9">
        <f t="shared" ca="1" si="300"/>
        <v>0.53304163730678777</v>
      </c>
      <c r="M70" s="9">
        <f t="shared" ca="1" si="300"/>
        <v>0.808072344810289</v>
      </c>
      <c r="N70" s="9">
        <f t="shared" ca="1" si="300"/>
        <v>-1</v>
      </c>
      <c r="O70" s="9">
        <f t="shared" ca="1" si="300"/>
        <v>0.65086611280444306</v>
      </c>
      <c r="P70" s="9">
        <f t="shared" ca="1" si="300"/>
        <v>0.47595321628615272</v>
      </c>
      <c r="Q70" s="9">
        <f t="shared" ca="1" si="300"/>
        <v>0.23518466972316687</v>
      </c>
      <c r="R70" s="9">
        <f t="shared" ca="1" si="300"/>
        <v>0.63539587655528085</v>
      </c>
      <c r="S70" s="9">
        <f t="shared" ca="1" si="300"/>
        <v>1.1907311894542305E-3</v>
      </c>
      <c r="T70" s="9">
        <f t="shared" ca="1" si="300"/>
        <v>0.33662842333358078</v>
      </c>
      <c r="U70" s="9">
        <f t="shared" ref="U70:AI70" ca="1" si="301">IF(OR(U$5="",U$5=0),-2,IF(U$6=$D71,-1,RAND()))</f>
        <v>-1</v>
      </c>
      <c r="V70" s="9">
        <f t="shared" ca="1" si="301"/>
        <v>0.6300829412602682</v>
      </c>
      <c r="W70" s="9">
        <f t="shared" ca="1" si="301"/>
        <v>0.58950470570395153</v>
      </c>
      <c r="X70" s="9">
        <f t="shared" ca="1" si="301"/>
        <v>0.51307101815209499</v>
      </c>
      <c r="Y70" s="9">
        <f t="shared" ca="1" si="301"/>
        <v>0.5464043540441198</v>
      </c>
      <c r="Z70" s="9">
        <f t="shared" ca="1" si="301"/>
        <v>0.95912083388431013</v>
      </c>
      <c r="AA70" s="9">
        <f t="shared" ca="1" si="301"/>
        <v>0.10817251588586074</v>
      </c>
      <c r="AB70" s="9">
        <f t="shared" ca="1" si="301"/>
        <v>-1</v>
      </c>
      <c r="AC70" s="9">
        <f t="shared" ca="1" si="301"/>
        <v>0.71433989590817693</v>
      </c>
      <c r="AD70" s="9">
        <f t="shared" ca="1" si="301"/>
        <v>0.22909344828146927</v>
      </c>
      <c r="AE70" s="9">
        <f t="shared" ca="1" si="301"/>
        <v>0.20917124019701805</v>
      </c>
      <c r="AF70" s="9">
        <f t="shared" ca="1" si="301"/>
        <v>0.79107896566652691</v>
      </c>
      <c r="AG70" s="9">
        <f t="shared" ca="1" si="301"/>
        <v>0.17664275284063036</v>
      </c>
      <c r="AH70" s="9">
        <f t="shared" ca="1" si="301"/>
        <v>0.53126453182879374</v>
      </c>
      <c r="AI70" s="9">
        <f t="shared" ca="1" si="301"/>
        <v>-1</v>
      </c>
      <c r="AJ70" s="38"/>
      <c r="AK70" s="37"/>
      <c r="AL70" s="37"/>
      <c r="AM70" s="37"/>
      <c r="AN70" s="37"/>
      <c r="AO70" s="39" t="s">
        <v>22</v>
      </c>
    </row>
    <row r="71" spans="1:41" ht="15.6" thickBot="1" x14ac:dyDescent="0.35">
      <c r="A71" s="42"/>
      <c r="B71" s="44" t="s">
        <v>29</v>
      </c>
      <c r="C71" s="43" t="s">
        <v>51</v>
      </c>
      <c r="D71" s="37" t="s">
        <v>67</v>
      </c>
      <c r="E71" s="9" t="str">
        <f t="shared" ref="E71" ca="1" si="302">IF(OR(E$5="",E$5=0),"",IF(E$6=$D71,"W",IF(_xlfn.RANK.EQ(E70,$E70:$AI70,0)&lt;=INT($AO71),"P",IF(AND(_xlfn.RANK.EQ(E70,$E70:$AI70,0)=INT($AO71)+1,MOD($AO71,1)=0.5),"H","A"))))</f>
        <v>P</v>
      </c>
      <c r="F71" s="9" t="str">
        <f t="shared" ref="F71" ca="1" si="303">IF(OR(F$5="",F$5=0),"",IF(F$6=$D71,"W",IF(_xlfn.RANK.EQ(F70,$E70:$AI70,0)&lt;=INT($AO71),"P",IF(AND(_xlfn.RANK.EQ(F70,$E70:$AI70,0)=INT($AO71)+1,MOD($AO71,1)=0.5),"H","A"))))</f>
        <v>P</v>
      </c>
      <c r="G71" s="9" t="str">
        <f t="shared" ref="G71" si="304">IF(OR(G$5="",G$5=0),"",IF(G$6=$D71,"W",IF(_xlfn.RANK.EQ(G70,$E70:$AI70,0)&lt;=INT($AO71),"P",IF(AND(_xlfn.RANK.EQ(G70,$E70:$AI70,0)=INT($AO71)+1,MOD($AO71,1)=0.5),"H","A"))))</f>
        <v>W</v>
      </c>
      <c r="H71" s="9" t="str">
        <f t="shared" ref="H71" ca="1" si="305">IF(OR(H$5="",H$5=0),"",IF(H$6=$D71,"W",IF(_xlfn.RANK.EQ(H70,$E70:$AI70,0)&lt;=INT($AO71),"P",IF(AND(_xlfn.RANK.EQ(H70,$E70:$AI70,0)=INT($AO71)+1,MOD($AO71,1)=0.5),"H","A"))))</f>
        <v>P</v>
      </c>
      <c r="I71" s="9" t="str">
        <f t="shared" ref="I71" ca="1" si="306">IF(OR(I$5="",I$5=0),"",IF(I$6=$D71,"W",IF(_xlfn.RANK.EQ(I70,$E70:$AI70,0)&lt;=INT($AO71),"P",IF(AND(_xlfn.RANK.EQ(I70,$E70:$AI70,0)=INT($AO71)+1,MOD($AO71,1)=0.5),"H","A"))))</f>
        <v>P</v>
      </c>
      <c r="J71" s="9" t="str">
        <f t="shared" ref="J71" ca="1" si="307">IF(OR(J$5="",J$5=0),"",IF(J$6=$D71,"W",IF(_xlfn.RANK.EQ(J70,$E70:$AI70,0)&lt;=INT($AO71),"P",IF(AND(_xlfn.RANK.EQ(J70,$E70:$AI70,0)=INT($AO71)+1,MOD($AO71,1)=0.5),"H","A"))))</f>
        <v>P</v>
      </c>
      <c r="K71" s="9" t="str">
        <f t="shared" ref="K71" ca="1" si="308">IF(OR(K$5="",K$5=0),"",IF(K$6=$D71,"W",IF(_xlfn.RANK.EQ(K70,$E70:$AI70,0)&lt;=INT($AO71),"P",IF(AND(_xlfn.RANK.EQ(K70,$E70:$AI70,0)=INT($AO71)+1,MOD($AO71,1)=0.5),"H","A"))))</f>
        <v>P</v>
      </c>
      <c r="L71" s="9" t="str">
        <f t="shared" ref="L71" ca="1" si="309">IF(OR(L$5="",L$5=0),"",IF(L$6=$D71,"W",IF(_xlfn.RANK.EQ(L70,$E70:$AI70,0)&lt;=INT($AO71),"P",IF(AND(_xlfn.RANK.EQ(L70,$E70:$AI70,0)=INT($AO71)+1,MOD($AO71,1)=0.5),"H","A"))))</f>
        <v>P</v>
      </c>
      <c r="M71" s="9" t="str">
        <f t="shared" ref="M71" ca="1" si="310">IF(OR(M$5="",M$5=0),"",IF(M$6=$D71,"W",IF(_xlfn.RANK.EQ(M70,$E70:$AI70,0)&lt;=INT($AO71),"P",IF(AND(_xlfn.RANK.EQ(M70,$E70:$AI70,0)=INT($AO71)+1,MOD($AO71,1)=0.5),"H","A"))))</f>
        <v>P</v>
      </c>
      <c r="N71" s="9" t="str">
        <f t="shared" ref="N71" si="311">IF(OR(N$5="",N$5=0),"",IF(N$6=$D71,"W",IF(_xlfn.RANK.EQ(N70,$E70:$AI70,0)&lt;=INT($AO71),"P",IF(AND(_xlfn.RANK.EQ(N70,$E70:$AI70,0)=INT($AO71)+1,MOD($AO71,1)=0.5),"H","A"))))</f>
        <v>W</v>
      </c>
      <c r="O71" s="9" t="str">
        <f t="shared" ref="O71" ca="1" si="312">IF(OR(O$5="",O$5=0),"",IF(O$6=$D71,"W",IF(_xlfn.RANK.EQ(O70,$E70:$AI70,0)&lt;=INT($AO71),"P",IF(AND(_xlfn.RANK.EQ(O70,$E70:$AI70,0)=INT($AO71)+1,MOD($AO71,1)=0.5),"H","A"))))</f>
        <v>P</v>
      </c>
      <c r="P71" s="9" t="str">
        <f t="shared" ref="P71" ca="1" si="313">IF(OR(P$5="",P$5=0),"",IF(P$6=$D71,"W",IF(_xlfn.RANK.EQ(P70,$E70:$AI70,0)&lt;=INT($AO71),"P",IF(AND(_xlfn.RANK.EQ(P70,$E70:$AI70,0)=INT($AO71)+1,MOD($AO71,1)=0.5),"H","A"))))</f>
        <v>P</v>
      </c>
      <c r="Q71" s="9" t="str">
        <f t="shared" ref="Q71" ca="1" si="314">IF(OR(Q$5="",Q$5=0),"",IF(Q$6=$D71,"W",IF(_xlfn.RANK.EQ(Q70,$E70:$AI70,0)&lt;=INT($AO71),"P",IF(AND(_xlfn.RANK.EQ(Q70,$E70:$AI70,0)=INT($AO71)+1,MOD($AO71,1)=0.5),"H","A"))))</f>
        <v>P</v>
      </c>
      <c r="R71" s="9" t="str">
        <f t="shared" ref="R71" ca="1" si="315">IF(OR(R$5="",R$5=0),"",IF(R$6=$D71,"W",IF(_xlfn.RANK.EQ(R70,$E70:$AI70,0)&lt;=INT($AO71),"P",IF(AND(_xlfn.RANK.EQ(R70,$E70:$AI70,0)=INT($AO71)+1,MOD($AO71,1)=0.5),"H","A"))))</f>
        <v>P</v>
      </c>
      <c r="S71" s="9" t="str">
        <f t="shared" ref="S71" ca="1" si="316">IF(OR(S$5="",S$5=0),"",IF(S$6=$D71,"W",IF(_xlfn.RANK.EQ(S70,$E70:$AI70,0)&lt;=INT($AO71),"P",IF(AND(_xlfn.RANK.EQ(S70,$E70:$AI70,0)=INT($AO71)+1,MOD($AO71,1)=0.5),"H","A"))))</f>
        <v>P</v>
      </c>
      <c r="T71" s="9" t="str">
        <f t="shared" ref="T71" ca="1" si="317">IF(OR(T$5="",T$5=0),"",IF(T$6=$D71,"W",IF(_xlfn.RANK.EQ(T70,$E70:$AI70,0)&lt;=INT($AO71),"P",IF(AND(_xlfn.RANK.EQ(T70,$E70:$AI70,0)=INT($AO71)+1,MOD($AO71,1)=0.5),"H","A"))))</f>
        <v>P</v>
      </c>
      <c r="U71" s="9" t="str">
        <f t="shared" ref="U71" si="318">IF(OR(U$5="",U$5=0),"",IF(U$6=$D71,"W",IF(_xlfn.RANK.EQ(U70,$E70:$AI70,0)&lt;=INT($AO71),"P",IF(AND(_xlfn.RANK.EQ(U70,$E70:$AI70,0)=INT($AO71)+1,MOD($AO71,1)=0.5),"H","A"))))</f>
        <v>W</v>
      </c>
      <c r="V71" s="9" t="str">
        <f t="shared" ref="V71" ca="1" si="319">IF(OR(V$5="",V$5=0),"",IF(V$6=$D71,"W",IF(_xlfn.RANK.EQ(V70,$E70:$AI70,0)&lt;=INT($AO71),"P",IF(AND(_xlfn.RANK.EQ(V70,$E70:$AI70,0)=INT($AO71)+1,MOD($AO71,1)=0.5),"H","A"))))</f>
        <v>P</v>
      </c>
      <c r="W71" s="9" t="str">
        <f t="shared" ref="W71" ca="1" si="320">IF(OR(W$5="",W$5=0),"",IF(W$6=$D71,"W",IF(_xlfn.RANK.EQ(W70,$E70:$AI70,0)&lt;=INT($AO71),"P",IF(AND(_xlfn.RANK.EQ(W70,$E70:$AI70,0)=INT($AO71)+1,MOD($AO71,1)=0.5),"H","A"))))</f>
        <v>P</v>
      </c>
      <c r="X71" s="9" t="str">
        <f t="shared" ref="X71" ca="1" si="321">IF(OR(X$5="",X$5=0),"",IF(X$6=$D71,"W",IF(_xlfn.RANK.EQ(X70,$E70:$AI70,0)&lt;=INT($AO71),"P",IF(AND(_xlfn.RANK.EQ(X70,$E70:$AI70,0)=INT($AO71)+1,MOD($AO71,1)=0.5),"H","A"))))</f>
        <v>P</v>
      </c>
      <c r="Y71" s="9" t="str">
        <f t="shared" ref="Y71" ca="1" si="322">IF(OR(Y$5="",Y$5=0),"",IF(Y$6=$D71,"W",IF(_xlfn.RANK.EQ(Y70,$E70:$AI70,0)&lt;=INT($AO71),"P",IF(AND(_xlfn.RANK.EQ(Y70,$E70:$AI70,0)=INT($AO71)+1,MOD($AO71,1)=0.5),"H","A"))))</f>
        <v>P</v>
      </c>
      <c r="Z71" s="9" t="str">
        <f t="shared" ref="Z71" ca="1" si="323">IF(OR(Z$5="",Z$5=0),"",IF(Z$6=$D71,"W",IF(_xlfn.RANK.EQ(Z70,$E70:$AI70,0)&lt;=INT($AO71),"P",IF(AND(_xlfn.RANK.EQ(Z70,$E70:$AI70,0)=INT($AO71)+1,MOD($AO71,1)=0.5),"H","A"))))</f>
        <v>P</v>
      </c>
      <c r="AA71" s="9" t="str">
        <f t="shared" ref="AA71" ca="1" si="324">IF(OR(AA$5="",AA$5=0),"",IF(AA$6=$D71,"W",IF(_xlfn.RANK.EQ(AA70,$E70:$AI70,0)&lt;=INT($AO71),"P",IF(AND(_xlfn.RANK.EQ(AA70,$E70:$AI70,0)=INT($AO71)+1,MOD($AO71,1)=0.5),"H","A"))))</f>
        <v>P</v>
      </c>
      <c r="AB71" s="9" t="str">
        <f t="shared" ref="AB71" si="325">IF(OR(AB$5="",AB$5=0),"",IF(AB$6=$D71,"W",IF(_xlfn.RANK.EQ(AB70,$E70:$AI70,0)&lt;=INT($AO71),"P",IF(AND(_xlfn.RANK.EQ(AB70,$E70:$AI70,0)=INT($AO71)+1,MOD($AO71,1)=0.5),"H","A"))))</f>
        <v>W</v>
      </c>
      <c r="AC71" s="9" t="str">
        <f t="shared" ref="AC71" ca="1" si="326">IF(OR(AC$5="",AC$5=0),"",IF(AC$6=$D71,"W",IF(_xlfn.RANK.EQ(AC70,$E70:$AI70,0)&lt;=INT($AO71),"P",IF(AND(_xlfn.RANK.EQ(AC70,$E70:$AI70,0)=INT($AO71)+1,MOD($AO71,1)=0.5),"H","A"))))</f>
        <v>P</v>
      </c>
      <c r="AD71" s="9" t="str">
        <f t="shared" ref="AD71" ca="1" si="327">IF(OR(AD$5="",AD$5=0),"",IF(AD$6=$D71,"W",IF(_xlfn.RANK.EQ(AD70,$E70:$AI70,0)&lt;=INT($AO71),"P",IF(AND(_xlfn.RANK.EQ(AD70,$E70:$AI70,0)=INT($AO71)+1,MOD($AO71,1)=0.5),"H","A"))))</f>
        <v>P</v>
      </c>
      <c r="AE71" s="9" t="str">
        <f t="shared" ref="AE71" ca="1" si="328">IF(OR(AE$5="",AE$5=0),"",IF(AE$6=$D71,"W",IF(_xlfn.RANK.EQ(AE70,$E70:$AI70,0)&lt;=INT($AO71),"P",IF(AND(_xlfn.RANK.EQ(AE70,$E70:$AI70,0)=INT($AO71)+1,MOD($AO71,1)=0.5),"H","A"))))</f>
        <v>P</v>
      </c>
      <c r="AF71" s="9" t="str">
        <f t="shared" ref="AF71" ca="1" si="329">IF(OR(AF$5="",AF$5=0),"",IF(AF$6=$D71,"W",IF(_xlfn.RANK.EQ(AF70,$E70:$AI70,0)&lt;=INT($AO71),"P",IF(AND(_xlfn.RANK.EQ(AF70,$E70:$AI70,0)=INT($AO71)+1,MOD($AO71,1)=0.5),"H","A"))))</f>
        <v>P</v>
      </c>
      <c r="AG71" s="9" t="str">
        <f t="shared" ref="AG71" ca="1" si="330">IF(OR(AG$5="",AG$5=0),"",IF(AG$6=$D71,"W",IF(_xlfn.RANK.EQ(AG70,$E70:$AI70,0)&lt;=INT($AO71),"P",IF(AND(_xlfn.RANK.EQ(AG70,$E70:$AI70,0)=INT($AO71)+1,MOD($AO71,1)=0.5),"H","A"))))</f>
        <v>P</v>
      </c>
      <c r="AH71" s="9" t="str">
        <f t="shared" ref="AH71" ca="1" si="331">IF(OR(AH$5="",AH$5=0),"",IF(AH$6=$D71,"W",IF(_xlfn.RANK.EQ(AH70,$E70:$AI70,0)&lt;=INT($AO71),"P",IF(AND(_xlfn.RANK.EQ(AH70,$E70:$AI70,0)=INT($AO71)+1,MOD($AO71,1)=0.5),"H","A"))))</f>
        <v>P</v>
      </c>
      <c r="AI71" s="9" t="str">
        <f t="shared" ref="AI71" si="332">IF(OR(AI$5="",AI$5=0),"",IF(AI$6=$D71,"W",IF(_xlfn.RANK.EQ(AI70,$E70:$AI70,0)&lt;=INT($AO71),"P",IF(AND(_xlfn.RANK.EQ(AI70,$E70:$AI70,0)=INT($AO71)+1,MOD($AO71,1)=0.5),"H","A"))))</f>
        <v>W</v>
      </c>
      <c r="AJ71" s="16">
        <f t="shared" ref="AJ71" ca="1" si="333">COUNTIF(E71:AI71, "P")</f>
        <v>26</v>
      </c>
      <c r="AK71" s="17">
        <f t="shared" ref="AK71" ca="1" si="334">COUNTIF(E71:AH71, "A")</f>
        <v>0</v>
      </c>
      <c r="AL71" s="17">
        <f t="shared" ref="AL71" ca="1" si="335">COUNTIF(E71:AH71, "W")</f>
        <v>4</v>
      </c>
      <c r="AM71" s="17">
        <f t="shared" ref="AM71" ca="1" si="336">COUNTIF(E71:AH71, "H")</f>
        <v>0</v>
      </c>
      <c r="AN71" s="17">
        <f t="shared" ref="AN71" ca="1" si="337">COUNTIF(E71:AH71, "PL")</f>
        <v>0</v>
      </c>
      <c r="AO71" s="18">
        <v>26</v>
      </c>
    </row>
    <row r="72" spans="1:41" ht="15" x14ac:dyDescent="0.3">
      <c r="A72" s="19"/>
      <c r="B72" s="1" t="s">
        <v>22</v>
      </c>
      <c r="C72" s="48" t="s">
        <v>22</v>
      </c>
      <c r="D72" s="45" t="s">
        <v>1</v>
      </c>
      <c r="E72" s="20" t="str">
        <f t="shared" ref="E72:AI81" ca="1" si="338">IF(E71="P", IF($D70="G", TEXT(RAND()*(9.27-9.62)/24+9.62/24,"HH:MM"), IF($D70="A", TEXT(RAND()*(8.06-8.1)/24+8.15/24,"HH:MM"), IF($D70="B", TEXT(RAND()*(16.06-16.1)/24+16.15/24,"HH:MM"), IF($D70="C", TEXT(RAND()*(24.85-24.13)/24+24.13/24,"HH:MM"), " ")))), "")</f>
        <v>16:06</v>
      </c>
      <c r="F72" s="20" t="str">
        <f t="shared" ca="1" si="338"/>
        <v>16:08</v>
      </c>
      <c r="G72" s="20" t="str">
        <f t="shared" ca="1" si="338"/>
        <v/>
      </c>
      <c r="H72" s="20" t="str">
        <f t="shared" ca="1" si="338"/>
        <v>16:06</v>
      </c>
      <c r="I72" s="20" t="str">
        <f t="shared" ca="1" si="338"/>
        <v>16:06</v>
      </c>
      <c r="J72" s="20" t="str">
        <f t="shared" ca="1" si="338"/>
        <v>16:06</v>
      </c>
      <c r="K72" s="20" t="str">
        <f t="shared" ca="1" si="338"/>
        <v>16:07</v>
      </c>
      <c r="L72" s="20" t="str">
        <f t="shared" ca="1" si="338"/>
        <v>16:07</v>
      </c>
      <c r="M72" s="20" t="str">
        <f t="shared" ca="1" si="338"/>
        <v>16:06</v>
      </c>
      <c r="N72" s="20" t="str">
        <f t="shared" ca="1" si="338"/>
        <v/>
      </c>
      <c r="O72" s="20" t="str">
        <f t="shared" ca="1" si="338"/>
        <v>16:07</v>
      </c>
      <c r="P72" s="20" t="str">
        <f t="shared" ca="1" si="338"/>
        <v>16:09</v>
      </c>
      <c r="Q72" s="20" t="str">
        <f t="shared" ca="1" si="338"/>
        <v>16:06</v>
      </c>
      <c r="R72" s="20" t="str">
        <f t="shared" ca="1" si="338"/>
        <v>16:07</v>
      </c>
      <c r="S72" s="20" t="str">
        <f t="shared" ca="1" si="338"/>
        <v>16:08</v>
      </c>
      <c r="T72" s="20" t="str">
        <f t="shared" ca="1" si="338"/>
        <v>16:06</v>
      </c>
      <c r="U72" s="20" t="str">
        <f t="shared" ca="1" si="338"/>
        <v/>
      </c>
      <c r="V72" s="20" t="str">
        <f t="shared" ca="1" si="338"/>
        <v>16:07</v>
      </c>
      <c r="W72" s="20" t="str">
        <f t="shared" ca="1" si="338"/>
        <v>16:08</v>
      </c>
      <c r="X72" s="20" t="str">
        <f t="shared" ca="1" si="338"/>
        <v>16:08</v>
      </c>
      <c r="Y72" s="20" t="str">
        <f t="shared" ca="1" si="338"/>
        <v>16:07</v>
      </c>
      <c r="Z72" s="20" t="str">
        <f t="shared" ca="1" si="338"/>
        <v>16:07</v>
      </c>
      <c r="AA72" s="20" t="str">
        <f t="shared" ca="1" si="338"/>
        <v>16:08</v>
      </c>
      <c r="AB72" s="20" t="str">
        <f t="shared" ca="1" si="338"/>
        <v/>
      </c>
      <c r="AC72" s="20" t="str">
        <f t="shared" ca="1" si="338"/>
        <v>16:08</v>
      </c>
      <c r="AD72" s="20" t="str">
        <f t="shared" ca="1" si="338"/>
        <v>16:08</v>
      </c>
      <c r="AE72" s="20" t="str">
        <f t="shared" ca="1" si="338"/>
        <v>16:07</v>
      </c>
      <c r="AF72" s="20" t="str">
        <f t="shared" ca="1" si="338"/>
        <v>16:06</v>
      </c>
      <c r="AG72" s="20" t="str">
        <f t="shared" ca="1" si="338"/>
        <v>16:07</v>
      </c>
      <c r="AH72" s="20" t="str">
        <f t="shared" ca="1" si="338"/>
        <v>16:07</v>
      </c>
      <c r="AI72" s="20" t="str">
        <f t="shared" ca="1" si="338"/>
        <v/>
      </c>
      <c r="AJ72" s="21"/>
      <c r="AK72" s="22"/>
      <c r="AL72" s="22"/>
      <c r="AM72" s="22"/>
      <c r="AN72" s="22"/>
      <c r="AO72" s="23" t="s">
        <v>22</v>
      </c>
    </row>
    <row r="73" spans="1:41" ht="15" x14ac:dyDescent="0.3">
      <c r="A73" s="19"/>
      <c r="B73" s="1" t="s">
        <v>22</v>
      </c>
      <c r="C73" s="48" t="s">
        <v>22</v>
      </c>
      <c r="D73" s="45" t="s">
        <v>2</v>
      </c>
      <c r="E73" s="20" t="str">
        <f t="shared" ref="E73:AI82" ca="1" si="339">IF(E71="P", IF($D70="G", TEXT(RAND()*(18.85-18.13)/24+18.13/24,"HH:MM"), IF($D70="A", TEXT(RAND()*(16.85-16.13)/24+16.13/24,"HH:MM"), IF($D70="B", TEXT(RAND()*(24.85-24.13)/24+24.13/24,"HH:MM"), IF($D70="C", TEXT(RAND()*(8.85-8.13)/24+8.13/24,"HH:MM"), " ")))), "")</f>
        <v>00:24</v>
      </c>
      <c r="F73" s="20" t="str">
        <f t="shared" ca="1" si="339"/>
        <v>00:29</v>
      </c>
      <c r="G73" s="20" t="str">
        <f t="shared" ca="1" si="339"/>
        <v/>
      </c>
      <c r="H73" s="20" t="str">
        <f t="shared" ca="1" si="339"/>
        <v>00:45</v>
      </c>
      <c r="I73" s="20" t="str">
        <f t="shared" ca="1" si="339"/>
        <v>00:33</v>
      </c>
      <c r="J73" s="20" t="str">
        <f t="shared" ca="1" si="339"/>
        <v>00:48</v>
      </c>
      <c r="K73" s="20" t="str">
        <f t="shared" ca="1" si="339"/>
        <v>00:10</v>
      </c>
      <c r="L73" s="20" t="str">
        <f t="shared" ca="1" si="339"/>
        <v>00:11</v>
      </c>
      <c r="M73" s="20" t="str">
        <f t="shared" ca="1" si="339"/>
        <v>00:16</v>
      </c>
      <c r="N73" s="20" t="str">
        <f t="shared" ca="1" si="339"/>
        <v/>
      </c>
      <c r="O73" s="20" t="str">
        <f t="shared" ca="1" si="339"/>
        <v>00:38</v>
      </c>
      <c r="P73" s="20" t="str">
        <f t="shared" ca="1" si="339"/>
        <v>00:36</v>
      </c>
      <c r="Q73" s="20" t="str">
        <f t="shared" ca="1" si="339"/>
        <v>00:22</v>
      </c>
      <c r="R73" s="20" t="str">
        <f t="shared" ca="1" si="339"/>
        <v>00:10</v>
      </c>
      <c r="S73" s="20" t="str">
        <f t="shared" ca="1" si="339"/>
        <v>00:16</v>
      </c>
      <c r="T73" s="20" t="str">
        <f t="shared" ca="1" si="339"/>
        <v>00:33</v>
      </c>
      <c r="U73" s="20" t="str">
        <f t="shared" ca="1" si="339"/>
        <v/>
      </c>
      <c r="V73" s="20" t="str">
        <f t="shared" ca="1" si="339"/>
        <v>00:18</v>
      </c>
      <c r="W73" s="20" t="str">
        <f t="shared" ca="1" si="339"/>
        <v>00:12</v>
      </c>
      <c r="X73" s="20" t="str">
        <f t="shared" ca="1" si="339"/>
        <v>00:29</v>
      </c>
      <c r="Y73" s="20" t="str">
        <f t="shared" ca="1" si="339"/>
        <v>00:13</v>
      </c>
      <c r="Z73" s="20" t="str">
        <f t="shared" ca="1" si="339"/>
        <v>00:30</v>
      </c>
      <c r="AA73" s="20" t="str">
        <f t="shared" ca="1" si="339"/>
        <v>00:09</v>
      </c>
      <c r="AB73" s="20" t="str">
        <f t="shared" ca="1" si="339"/>
        <v/>
      </c>
      <c r="AC73" s="20" t="str">
        <f t="shared" ca="1" si="339"/>
        <v>00:18</v>
      </c>
      <c r="AD73" s="20" t="str">
        <f t="shared" ca="1" si="339"/>
        <v>00:12</v>
      </c>
      <c r="AE73" s="20" t="str">
        <f t="shared" ca="1" si="339"/>
        <v>00:17</v>
      </c>
      <c r="AF73" s="20" t="str">
        <f t="shared" ca="1" si="339"/>
        <v>00:11</v>
      </c>
      <c r="AG73" s="20" t="str">
        <f t="shared" ca="1" si="339"/>
        <v>00:29</v>
      </c>
      <c r="AH73" s="20" t="str">
        <f t="shared" ca="1" si="339"/>
        <v>00:29</v>
      </c>
      <c r="AI73" s="20" t="str">
        <f t="shared" ca="1" si="339"/>
        <v/>
      </c>
      <c r="AJ73" s="24" t="s">
        <v>13</v>
      </c>
      <c r="AK73" s="25"/>
      <c r="AL73" s="25"/>
      <c r="AM73" s="25"/>
      <c r="AN73" s="25"/>
      <c r="AO73" s="23" t="s">
        <v>22</v>
      </c>
    </row>
    <row r="74" spans="1:41" ht="15" x14ac:dyDescent="0.3">
      <c r="A74" s="26"/>
      <c r="B74" s="1" t="s">
        <v>22</v>
      </c>
      <c r="C74" s="48" t="s">
        <v>22</v>
      </c>
      <c r="D74" s="45" t="s">
        <v>14</v>
      </c>
      <c r="E74" s="27">
        <f t="shared" ref="E74:AI83" ca="1" si="340">IF(E71="P", MOD(E73-E72, 1), " ")</f>
        <v>0.34583333333333344</v>
      </c>
      <c r="F74" s="27">
        <f t="shared" ca="1" si="340"/>
        <v>0.34791666666666665</v>
      </c>
      <c r="G74" s="27" t="str">
        <f t="shared" si="340"/>
        <v xml:space="preserve"> </v>
      </c>
      <c r="H74" s="27">
        <f t="shared" ca="1" si="340"/>
        <v>0.36041666666666672</v>
      </c>
      <c r="I74" s="27">
        <f t="shared" ca="1" si="340"/>
        <v>0.35208333333333341</v>
      </c>
      <c r="J74" s="27">
        <f t="shared" ca="1" si="340"/>
        <v>0.36250000000000004</v>
      </c>
      <c r="K74" s="27">
        <f t="shared" ca="1" si="340"/>
        <v>0.3354166666666667</v>
      </c>
      <c r="L74" s="27">
        <f t="shared" ca="1" si="340"/>
        <v>0.33611111111111114</v>
      </c>
      <c r="M74" s="27">
        <f t="shared" ca="1" si="340"/>
        <v>0.34027777777777779</v>
      </c>
      <c r="N74" s="27" t="str">
        <f t="shared" si="340"/>
        <v xml:space="preserve"> </v>
      </c>
      <c r="O74" s="27">
        <f t="shared" ca="1" si="340"/>
        <v>0.35486111111111118</v>
      </c>
      <c r="P74" s="27">
        <f t="shared" ca="1" si="340"/>
        <v>0.3520833333333333</v>
      </c>
      <c r="Q74" s="27">
        <f t="shared" ca="1" si="340"/>
        <v>0.34444444444444444</v>
      </c>
      <c r="R74" s="27">
        <f t="shared" ca="1" si="340"/>
        <v>0.3354166666666667</v>
      </c>
      <c r="S74" s="27">
        <f t="shared" ca="1" si="340"/>
        <v>0.3388888888888888</v>
      </c>
      <c r="T74" s="27">
        <f t="shared" ca="1" si="340"/>
        <v>0.35208333333333341</v>
      </c>
      <c r="U74" s="27" t="str">
        <f t="shared" si="340"/>
        <v xml:space="preserve"> </v>
      </c>
      <c r="V74" s="27">
        <f t="shared" ca="1" si="340"/>
        <v>0.34097222222222223</v>
      </c>
      <c r="W74" s="27">
        <f t="shared" ca="1" si="340"/>
        <v>0.33611111111111103</v>
      </c>
      <c r="X74" s="27">
        <f t="shared" ca="1" si="340"/>
        <v>0.34791666666666665</v>
      </c>
      <c r="Y74" s="27">
        <f t="shared" ca="1" si="340"/>
        <v>0.33750000000000002</v>
      </c>
      <c r="Z74" s="27">
        <f t="shared" ca="1" si="340"/>
        <v>0.34930555555555565</v>
      </c>
      <c r="AA74" s="27">
        <f t="shared" ca="1" si="340"/>
        <v>0.3340277777777777</v>
      </c>
      <c r="AB74" s="27" t="str">
        <f t="shared" si="340"/>
        <v xml:space="preserve"> </v>
      </c>
      <c r="AC74" s="27">
        <f t="shared" ca="1" si="340"/>
        <v>0.34027777777777768</v>
      </c>
      <c r="AD74" s="27">
        <f t="shared" ca="1" si="340"/>
        <v>0.33611111111111103</v>
      </c>
      <c r="AE74" s="27">
        <f t="shared" ca="1" si="340"/>
        <v>0.34027777777777779</v>
      </c>
      <c r="AF74" s="27">
        <f t="shared" ca="1" si="340"/>
        <v>0.33680555555555558</v>
      </c>
      <c r="AG74" s="27">
        <f t="shared" ca="1" si="340"/>
        <v>0.3486111111111112</v>
      </c>
      <c r="AH74" s="27">
        <f t="shared" ca="1" si="340"/>
        <v>0.3486111111111112</v>
      </c>
      <c r="AI74" s="27" t="str">
        <f t="shared" si="340"/>
        <v xml:space="preserve"> </v>
      </c>
      <c r="AJ74" s="28">
        <f t="shared" ref="AJ74" ca="1" si="341">AJ71*8</f>
        <v>208</v>
      </c>
      <c r="AK74" s="29"/>
      <c r="AL74" s="29"/>
      <c r="AM74" s="29"/>
      <c r="AN74" s="29"/>
      <c r="AO74" s="23" t="s">
        <v>22</v>
      </c>
    </row>
    <row r="75" spans="1:41" ht="15" x14ac:dyDescent="0.3">
      <c r="A75" s="26"/>
      <c r="B75" s="1" t="s">
        <v>22</v>
      </c>
      <c r="C75" s="48" t="s">
        <v>22</v>
      </c>
      <c r="D75" s="45" t="s">
        <v>19</v>
      </c>
      <c r="E75" s="27" t="str">
        <f t="shared" ref="E75:AI84" ca="1" si="342">IF(E71="P","08:00"," ")</f>
        <v>08:00</v>
      </c>
      <c r="F75" s="27" t="str">
        <f t="shared" ca="1" si="342"/>
        <v>08:00</v>
      </c>
      <c r="G75" s="27" t="str">
        <f t="shared" si="342"/>
        <v xml:space="preserve"> </v>
      </c>
      <c r="H75" s="27" t="str">
        <f t="shared" ca="1" si="342"/>
        <v>08:00</v>
      </c>
      <c r="I75" s="27" t="str">
        <f t="shared" ca="1" si="342"/>
        <v>08:00</v>
      </c>
      <c r="J75" s="27" t="str">
        <f t="shared" ca="1" si="342"/>
        <v>08:00</v>
      </c>
      <c r="K75" s="27" t="str">
        <f t="shared" ca="1" si="342"/>
        <v>08:00</v>
      </c>
      <c r="L75" s="27" t="str">
        <f t="shared" ca="1" si="342"/>
        <v>08:00</v>
      </c>
      <c r="M75" s="27" t="str">
        <f t="shared" ca="1" si="342"/>
        <v>08:00</v>
      </c>
      <c r="N75" s="27" t="str">
        <f t="shared" si="342"/>
        <v xml:space="preserve"> </v>
      </c>
      <c r="O75" s="27" t="str">
        <f t="shared" ca="1" si="342"/>
        <v>08:00</v>
      </c>
      <c r="P75" s="27" t="str">
        <f t="shared" ca="1" si="342"/>
        <v>08:00</v>
      </c>
      <c r="Q75" s="27" t="str">
        <f t="shared" ca="1" si="342"/>
        <v>08:00</v>
      </c>
      <c r="R75" s="27" t="str">
        <f t="shared" ca="1" si="342"/>
        <v>08:00</v>
      </c>
      <c r="S75" s="27" t="str">
        <f t="shared" ca="1" si="342"/>
        <v>08:00</v>
      </c>
      <c r="T75" s="27" t="str">
        <f t="shared" ca="1" si="342"/>
        <v>08:00</v>
      </c>
      <c r="U75" s="27" t="str">
        <f t="shared" si="342"/>
        <v xml:space="preserve"> </v>
      </c>
      <c r="V75" s="27" t="str">
        <f t="shared" ca="1" si="342"/>
        <v>08:00</v>
      </c>
      <c r="W75" s="27" t="str">
        <f t="shared" ca="1" si="342"/>
        <v>08:00</v>
      </c>
      <c r="X75" s="27" t="str">
        <f t="shared" ca="1" si="342"/>
        <v>08:00</v>
      </c>
      <c r="Y75" s="27" t="str">
        <f t="shared" ca="1" si="342"/>
        <v>08:00</v>
      </c>
      <c r="Z75" s="27" t="str">
        <f t="shared" ca="1" si="342"/>
        <v>08:00</v>
      </c>
      <c r="AA75" s="27" t="str">
        <f t="shared" ca="1" si="342"/>
        <v>08:00</v>
      </c>
      <c r="AB75" s="27" t="str">
        <f t="shared" si="342"/>
        <v xml:space="preserve"> </v>
      </c>
      <c r="AC75" s="27" t="str">
        <f t="shared" ca="1" si="342"/>
        <v>08:00</v>
      </c>
      <c r="AD75" s="27" t="str">
        <f t="shared" ca="1" si="342"/>
        <v>08:00</v>
      </c>
      <c r="AE75" s="27" t="str">
        <f t="shared" ca="1" si="342"/>
        <v>08:00</v>
      </c>
      <c r="AF75" s="27" t="str">
        <f t="shared" ca="1" si="342"/>
        <v>08:00</v>
      </c>
      <c r="AG75" s="27" t="str">
        <f t="shared" ca="1" si="342"/>
        <v>08:00</v>
      </c>
      <c r="AH75" s="27" t="str">
        <f t="shared" ca="1" si="342"/>
        <v>08:00</v>
      </c>
      <c r="AI75" s="27" t="str">
        <f t="shared" si="342"/>
        <v xml:space="preserve"> </v>
      </c>
      <c r="AJ75" s="28"/>
      <c r="AK75" s="29"/>
      <c r="AL75" s="29"/>
      <c r="AM75" s="29"/>
      <c r="AN75" s="29"/>
      <c r="AO75" s="23" t="s">
        <v>22</v>
      </c>
    </row>
    <row r="76" spans="1:41" ht="15" x14ac:dyDescent="0.3">
      <c r="A76" s="26"/>
      <c r="B76" s="1" t="s">
        <v>22</v>
      </c>
      <c r="C76" s="48" t="s">
        <v>22</v>
      </c>
      <c r="D76" s="45" t="s">
        <v>12</v>
      </c>
      <c r="E76" s="27" t="str">
        <f t="shared" ref="E76:AI85" ca="1" si="343">IF(E71="P","01:00"," ")</f>
        <v>01:00</v>
      </c>
      <c r="F76" s="27" t="str">
        <f t="shared" ca="1" si="343"/>
        <v>01:00</v>
      </c>
      <c r="G76" s="27" t="str">
        <f t="shared" si="343"/>
        <v xml:space="preserve"> </v>
      </c>
      <c r="H76" s="27" t="str">
        <f t="shared" ca="1" si="343"/>
        <v>01:00</v>
      </c>
      <c r="I76" s="27" t="str">
        <f t="shared" ca="1" si="343"/>
        <v>01:00</v>
      </c>
      <c r="J76" s="27" t="str">
        <f t="shared" ca="1" si="343"/>
        <v>01:00</v>
      </c>
      <c r="K76" s="27" t="str">
        <f t="shared" ca="1" si="343"/>
        <v>01:00</v>
      </c>
      <c r="L76" s="27" t="str">
        <f t="shared" ca="1" si="343"/>
        <v>01:00</v>
      </c>
      <c r="M76" s="27" t="str">
        <f t="shared" ca="1" si="343"/>
        <v>01:00</v>
      </c>
      <c r="N76" s="27" t="str">
        <f t="shared" si="343"/>
        <v xml:space="preserve"> </v>
      </c>
      <c r="O76" s="27" t="str">
        <f t="shared" ca="1" si="343"/>
        <v>01:00</v>
      </c>
      <c r="P76" s="27" t="str">
        <f t="shared" ca="1" si="343"/>
        <v>01:00</v>
      </c>
      <c r="Q76" s="27" t="str">
        <f t="shared" ca="1" si="343"/>
        <v>01:00</v>
      </c>
      <c r="R76" s="27" t="str">
        <f t="shared" ca="1" si="343"/>
        <v>01:00</v>
      </c>
      <c r="S76" s="27" t="str">
        <f t="shared" ca="1" si="343"/>
        <v>01:00</v>
      </c>
      <c r="T76" s="27" t="str">
        <f t="shared" ca="1" si="343"/>
        <v>01:00</v>
      </c>
      <c r="U76" s="27" t="str">
        <f t="shared" si="343"/>
        <v xml:space="preserve"> </v>
      </c>
      <c r="V76" s="27" t="str">
        <f t="shared" ca="1" si="343"/>
        <v>01:00</v>
      </c>
      <c r="W76" s="27" t="str">
        <f t="shared" ca="1" si="343"/>
        <v>01:00</v>
      </c>
      <c r="X76" s="27" t="str">
        <f t="shared" ca="1" si="343"/>
        <v>01:00</v>
      </c>
      <c r="Y76" s="27" t="str">
        <f t="shared" ca="1" si="343"/>
        <v>01:00</v>
      </c>
      <c r="Z76" s="27" t="str">
        <f t="shared" ca="1" si="343"/>
        <v>01:00</v>
      </c>
      <c r="AA76" s="27" t="str">
        <f t="shared" ca="1" si="343"/>
        <v>01:00</v>
      </c>
      <c r="AB76" s="27" t="str">
        <f t="shared" si="343"/>
        <v xml:space="preserve"> </v>
      </c>
      <c r="AC76" s="27" t="str">
        <f t="shared" ca="1" si="343"/>
        <v>01:00</v>
      </c>
      <c r="AD76" s="27" t="str">
        <f t="shared" ca="1" si="343"/>
        <v>01:00</v>
      </c>
      <c r="AE76" s="27" t="str">
        <f t="shared" ca="1" si="343"/>
        <v>01:00</v>
      </c>
      <c r="AF76" s="27" t="str">
        <f t="shared" ca="1" si="343"/>
        <v>01:00</v>
      </c>
      <c r="AG76" s="27" t="str">
        <f t="shared" ca="1" si="343"/>
        <v>01:00</v>
      </c>
      <c r="AH76" s="27" t="str">
        <f t="shared" ca="1" si="343"/>
        <v>01:00</v>
      </c>
      <c r="AI76" s="27" t="str">
        <f t="shared" si="343"/>
        <v xml:space="preserve"> </v>
      </c>
      <c r="AJ76" s="24" t="s">
        <v>11</v>
      </c>
      <c r="AK76" s="25"/>
      <c r="AL76" s="25"/>
      <c r="AM76" s="25"/>
      <c r="AN76" s="25"/>
      <c r="AO76" s="23" t="s">
        <v>22</v>
      </c>
    </row>
    <row r="77" spans="1:41" ht="15" x14ac:dyDescent="0.3">
      <c r="A77" s="26"/>
      <c r="B77" s="1" t="s">
        <v>22</v>
      </c>
      <c r="C77" s="48" t="s">
        <v>22</v>
      </c>
      <c r="D77" s="45" t="s">
        <v>11</v>
      </c>
      <c r="E77" s="27">
        <f t="shared" ref="E77:AI86" ca="1" si="344">IF(E71="P",E74-E76," ")</f>
        <v>0.30416666666666675</v>
      </c>
      <c r="F77" s="27">
        <f t="shared" ca="1" si="344"/>
        <v>0.30624999999999997</v>
      </c>
      <c r="G77" s="27" t="str">
        <f t="shared" si="344"/>
        <v xml:space="preserve"> </v>
      </c>
      <c r="H77" s="27">
        <f t="shared" ca="1" si="344"/>
        <v>0.31875000000000003</v>
      </c>
      <c r="I77" s="27">
        <f t="shared" ca="1" si="344"/>
        <v>0.31041666666666673</v>
      </c>
      <c r="J77" s="27">
        <f t="shared" ca="1" si="344"/>
        <v>0.32083333333333336</v>
      </c>
      <c r="K77" s="27">
        <f t="shared" ca="1" si="344"/>
        <v>0.29375000000000001</v>
      </c>
      <c r="L77" s="27">
        <f t="shared" ca="1" si="344"/>
        <v>0.29444444444444445</v>
      </c>
      <c r="M77" s="27">
        <f t="shared" ca="1" si="344"/>
        <v>0.2986111111111111</v>
      </c>
      <c r="N77" s="27" t="str">
        <f t="shared" si="344"/>
        <v xml:space="preserve"> </v>
      </c>
      <c r="O77" s="27">
        <f t="shared" ca="1" si="344"/>
        <v>0.3131944444444445</v>
      </c>
      <c r="P77" s="27">
        <f t="shared" ca="1" si="344"/>
        <v>0.31041666666666662</v>
      </c>
      <c r="Q77" s="27">
        <f t="shared" ca="1" si="344"/>
        <v>0.30277777777777776</v>
      </c>
      <c r="R77" s="27">
        <f t="shared" ca="1" si="344"/>
        <v>0.29375000000000001</v>
      </c>
      <c r="S77" s="27">
        <f t="shared" ca="1" si="344"/>
        <v>0.29722222222222211</v>
      </c>
      <c r="T77" s="27">
        <f t="shared" ca="1" si="344"/>
        <v>0.31041666666666673</v>
      </c>
      <c r="U77" s="27" t="str">
        <f t="shared" si="344"/>
        <v xml:space="preserve"> </v>
      </c>
      <c r="V77" s="27">
        <f t="shared" ca="1" si="344"/>
        <v>0.29930555555555555</v>
      </c>
      <c r="W77" s="27">
        <f t="shared" ca="1" si="344"/>
        <v>0.29444444444444434</v>
      </c>
      <c r="X77" s="27">
        <f t="shared" ca="1" si="344"/>
        <v>0.30624999999999997</v>
      </c>
      <c r="Y77" s="27">
        <f t="shared" ca="1" si="344"/>
        <v>0.29583333333333334</v>
      </c>
      <c r="Z77" s="27">
        <f t="shared" ca="1" si="344"/>
        <v>0.30763888888888896</v>
      </c>
      <c r="AA77" s="27">
        <f t="shared" ca="1" si="344"/>
        <v>0.29236111111111102</v>
      </c>
      <c r="AB77" s="27" t="str">
        <f t="shared" si="344"/>
        <v xml:space="preserve"> </v>
      </c>
      <c r="AC77" s="27">
        <f t="shared" ca="1" si="344"/>
        <v>0.29861111111111099</v>
      </c>
      <c r="AD77" s="27">
        <f t="shared" ca="1" si="344"/>
        <v>0.29444444444444434</v>
      </c>
      <c r="AE77" s="27">
        <f t="shared" ca="1" si="344"/>
        <v>0.2986111111111111</v>
      </c>
      <c r="AF77" s="27">
        <f t="shared" ca="1" si="344"/>
        <v>0.2951388888888889</v>
      </c>
      <c r="AG77" s="27">
        <f t="shared" ca="1" si="344"/>
        <v>0.30694444444444452</v>
      </c>
      <c r="AH77" s="27">
        <f t="shared" ca="1" si="344"/>
        <v>0.30694444444444452</v>
      </c>
      <c r="AI77" s="27" t="str">
        <f t="shared" si="344"/>
        <v xml:space="preserve"> </v>
      </c>
      <c r="AJ77" s="30">
        <f t="shared" ref="AJ77:AJ78" ca="1" si="345">SUM(E77:AH77)</f>
        <v>7.8715277777777777</v>
      </c>
      <c r="AK77" s="25"/>
      <c r="AL77" s="25"/>
      <c r="AM77" s="25"/>
      <c r="AN77" s="25"/>
      <c r="AO77" s="23" t="s">
        <v>22</v>
      </c>
    </row>
    <row r="78" spans="1:41" ht="15.6" thickBot="1" x14ac:dyDescent="0.35">
      <c r="A78" s="31"/>
      <c r="B78" s="32" t="s">
        <v>22</v>
      </c>
      <c r="C78" s="49" t="s">
        <v>22</v>
      </c>
      <c r="D78" s="46" t="s">
        <v>20</v>
      </c>
      <c r="E78" s="33">
        <f t="shared" ref="E78:AI87" ca="1" si="346">IF(E71="P",(IF(E75&gt;E77,0,E77-E75))," ")</f>
        <v>0</v>
      </c>
      <c r="F78" s="33">
        <f t="shared" ca="1" si="346"/>
        <v>0</v>
      </c>
      <c r="G78" s="33" t="str">
        <f t="shared" si="346"/>
        <v xml:space="preserve"> </v>
      </c>
      <c r="H78" s="33">
        <f t="shared" ca="1" si="346"/>
        <v>0</v>
      </c>
      <c r="I78" s="33">
        <f t="shared" ca="1" si="346"/>
        <v>0</v>
      </c>
      <c r="J78" s="33">
        <f t="shared" ca="1" si="346"/>
        <v>0</v>
      </c>
      <c r="K78" s="33">
        <f t="shared" ca="1" si="346"/>
        <v>0</v>
      </c>
      <c r="L78" s="33">
        <f t="shared" ca="1" si="346"/>
        <v>0</v>
      </c>
      <c r="M78" s="33">
        <f t="shared" ca="1" si="346"/>
        <v>0</v>
      </c>
      <c r="N78" s="33" t="str">
        <f t="shared" si="346"/>
        <v xml:space="preserve"> </v>
      </c>
      <c r="O78" s="33">
        <f t="shared" ca="1" si="346"/>
        <v>0</v>
      </c>
      <c r="P78" s="33">
        <f t="shared" ca="1" si="346"/>
        <v>0</v>
      </c>
      <c r="Q78" s="33">
        <f t="shared" ca="1" si="346"/>
        <v>0</v>
      </c>
      <c r="R78" s="33">
        <f t="shared" ca="1" si="346"/>
        <v>0</v>
      </c>
      <c r="S78" s="33">
        <f t="shared" ca="1" si="346"/>
        <v>0</v>
      </c>
      <c r="T78" s="33">
        <f t="shared" ca="1" si="346"/>
        <v>0</v>
      </c>
      <c r="U78" s="33" t="str">
        <f t="shared" si="346"/>
        <v xml:space="preserve"> </v>
      </c>
      <c r="V78" s="33">
        <f t="shared" ca="1" si="346"/>
        <v>0</v>
      </c>
      <c r="W78" s="33">
        <f t="shared" ca="1" si="346"/>
        <v>0</v>
      </c>
      <c r="X78" s="33">
        <f t="shared" ca="1" si="346"/>
        <v>0</v>
      </c>
      <c r="Y78" s="33">
        <f t="shared" ca="1" si="346"/>
        <v>0</v>
      </c>
      <c r="Z78" s="33">
        <f t="shared" ca="1" si="346"/>
        <v>0</v>
      </c>
      <c r="AA78" s="33">
        <f t="shared" ca="1" si="346"/>
        <v>0</v>
      </c>
      <c r="AB78" s="33" t="str">
        <f t="shared" si="346"/>
        <v xml:space="preserve"> </v>
      </c>
      <c r="AC78" s="33">
        <f t="shared" ca="1" si="346"/>
        <v>0</v>
      </c>
      <c r="AD78" s="33">
        <f t="shared" ca="1" si="346"/>
        <v>0</v>
      </c>
      <c r="AE78" s="33">
        <f t="shared" ca="1" si="346"/>
        <v>0</v>
      </c>
      <c r="AF78" s="33">
        <f t="shared" ca="1" si="346"/>
        <v>0</v>
      </c>
      <c r="AG78" s="33">
        <f t="shared" ca="1" si="346"/>
        <v>0</v>
      </c>
      <c r="AH78" s="33">
        <f t="shared" ca="1" si="346"/>
        <v>0</v>
      </c>
      <c r="AI78" s="33" t="str">
        <f t="shared" si="346"/>
        <v xml:space="preserve"> </v>
      </c>
      <c r="AJ78" s="34">
        <f t="shared" ca="1" si="345"/>
        <v>0</v>
      </c>
      <c r="AK78" s="35"/>
      <c r="AL78" s="35"/>
      <c r="AM78" s="35"/>
      <c r="AN78" s="35"/>
      <c r="AO78" s="36" t="s">
        <v>22</v>
      </c>
    </row>
    <row r="79" spans="1:41" ht="15.6" thickBot="1" x14ac:dyDescent="0.35">
      <c r="A79" s="14"/>
      <c r="B79" s="15" t="s">
        <v>22</v>
      </c>
      <c r="C79" s="47" t="s">
        <v>22</v>
      </c>
      <c r="D79" s="37" t="s">
        <v>69</v>
      </c>
      <c r="E79" s="9">
        <f t="shared" ref="E79:T79" ca="1" si="347">IF(OR(E$5="",E$5=0),-2,IF(E$6=$D80,-1,RAND()))</f>
        <v>1.9806000906404164E-2</v>
      </c>
      <c r="F79" s="9">
        <f t="shared" ca="1" si="347"/>
        <v>0.11214711148297496</v>
      </c>
      <c r="G79" s="9">
        <f t="shared" ca="1" si="347"/>
        <v>0.58730047671341901</v>
      </c>
      <c r="H79" s="9">
        <f t="shared" ca="1" si="347"/>
        <v>-1</v>
      </c>
      <c r="I79" s="9">
        <f t="shared" ca="1" si="347"/>
        <v>0.12417995108415514</v>
      </c>
      <c r="J79" s="9">
        <f t="shared" ca="1" si="347"/>
        <v>0.12480303482986421</v>
      </c>
      <c r="K79" s="9">
        <f t="shared" ca="1" si="347"/>
        <v>0.7374669191547546</v>
      </c>
      <c r="L79" s="9">
        <f t="shared" ca="1" si="347"/>
        <v>0.31054721674027463</v>
      </c>
      <c r="M79" s="9">
        <f t="shared" ca="1" si="347"/>
        <v>0.13027347423316671</v>
      </c>
      <c r="N79" s="9">
        <f t="shared" ca="1" si="347"/>
        <v>0.19171923101855093</v>
      </c>
      <c r="O79" s="9">
        <f t="shared" ca="1" si="347"/>
        <v>-1</v>
      </c>
      <c r="P79" s="9">
        <f t="shared" ca="1" si="347"/>
        <v>2.5995397759048577E-2</v>
      </c>
      <c r="Q79" s="9">
        <f t="shared" ca="1" si="347"/>
        <v>0.43865724775186765</v>
      </c>
      <c r="R79" s="9">
        <f t="shared" ca="1" si="347"/>
        <v>0.8336806104816783</v>
      </c>
      <c r="S79" s="9">
        <f t="shared" ca="1" si="347"/>
        <v>0.88948515096033542</v>
      </c>
      <c r="T79" s="9">
        <f t="shared" ca="1" si="347"/>
        <v>0.16439536509720132</v>
      </c>
      <c r="U79" s="9">
        <f t="shared" ref="U79:AI79" ca="1" si="348">IF(OR(U$5="",U$5=0),-2,IF(U$6=$D80,-1,RAND()))</f>
        <v>6.6187387398483288E-2</v>
      </c>
      <c r="V79" s="9">
        <f t="shared" ca="1" si="348"/>
        <v>-1</v>
      </c>
      <c r="W79" s="9">
        <f t="shared" ca="1" si="348"/>
        <v>0.54145864906669294</v>
      </c>
      <c r="X79" s="9">
        <f t="shared" ca="1" si="348"/>
        <v>0.74862098853757464</v>
      </c>
      <c r="Y79" s="9">
        <f t="shared" ca="1" si="348"/>
        <v>0.97520894388309665</v>
      </c>
      <c r="Z79" s="9">
        <f t="shared" ca="1" si="348"/>
        <v>0.80927509602497971</v>
      </c>
      <c r="AA79" s="9">
        <f t="shared" ca="1" si="348"/>
        <v>0.16586174674347598</v>
      </c>
      <c r="AB79" s="9">
        <f t="shared" ca="1" si="348"/>
        <v>0.32764006523635958</v>
      </c>
      <c r="AC79" s="9">
        <f t="shared" ca="1" si="348"/>
        <v>-1</v>
      </c>
      <c r="AD79" s="9">
        <f t="shared" ca="1" si="348"/>
        <v>5.329751660195392E-2</v>
      </c>
      <c r="AE79" s="9">
        <f t="shared" ca="1" si="348"/>
        <v>0.36610061633703106</v>
      </c>
      <c r="AF79" s="9">
        <f t="shared" ca="1" si="348"/>
        <v>0.97161773473508939</v>
      </c>
      <c r="AG79" s="9">
        <f t="shared" ca="1" si="348"/>
        <v>0.20514290801195179</v>
      </c>
      <c r="AH79" s="9">
        <f t="shared" ca="1" si="348"/>
        <v>0.80702075134726736</v>
      </c>
      <c r="AI79" s="9">
        <f t="shared" ca="1" si="348"/>
        <v>0.3903335583635088</v>
      </c>
      <c r="AJ79" s="38"/>
      <c r="AK79" s="37"/>
      <c r="AL79" s="37"/>
      <c r="AM79" s="37"/>
      <c r="AN79" s="37"/>
      <c r="AO79" s="39" t="s">
        <v>22</v>
      </c>
    </row>
    <row r="80" spans="1:41" ht="15.6" thickBot="1" x14ac:dyDescent="0.35">
      <c r="A80" s="42"/>
      <c r="B80" s="44" t="s">
        <v>30</v>
      </c>
      <c r="C80" s="43" t="s">
        <v>52</v>
      </c>
      <c r="D80" s="37" t="s">
        <v>71</v>
      </c>
      <c r="E80" s="9" t="str">
        <f t="shared" ref="E80" ca="1" si="349">IF(OR(E$5="",E$5=0),"",IF(E$6=$D80,"W",IF(_xlfn.RANK.EQ(E79,$E79:$AI79,0)&lt;=INT($AO80),"P",IF(AND(_xlfn.RANK.EQ(E79,$E79:$AI79,0)=INT($AO80)+1,MOD($AO80,1)=0.5),"H","A"))))</f>
        <v>A</v>
      </c>
      <c r="F80" s="9" t="str">
        <f t="shared" ref="F80" ca="1" si="350">IF(OR(F$5="",F$5=0),"",IF(F$6=$D80,"W",IF(_xlfn.RANK.EQ(F79,$E79:$AI79,0)&lt;=INT($AO80),"P",IF(AND(_xlfn.RANK.EQ(F79,$E79:$AI79,0)=INT($AO80)+1,MOD($AO80,1)=0.5),"H","A"))))</f>
        <v>P</v>
      </c>
      <c r="G80" s="9" t="str">
        <f t="shared" ref="G80" ca="1" si="351">IF(OR(G$5="",G$5=0),"",IF(G$6=$D80,"W",IF(_xlfn.RANK.EQ(G79,$E79:$AI79,0)&lt;=INT($AO80),"P",IF(AND(_xlfn.RANK.EQ(G79,$E79:$AI79,0)=INT($AO80)+1,MOD($AO80,1)=0.5),"H","A"))))</f>
        <v>P</v>
      </c>
      <c r="H80" s="9" t="str">
        <f t="shared" ref="H80" si="352">IF(OR(H$5="",H$5=0),"",IF(H$6=$D80,"W",IF(_xlfn.RANK.EQ(H79,$E79:$AI79,0)&lt;=INT($AO80),"P",IF(AND(_xlfn.RANK.EQ(H79,$E79:$AI79,0)=INT($AO80)+1,MOD($AO80,1)=0.5),"H","A"))))</f>
        <v>W</v>
      </c>
      <c r="I80" s="9" t="str">
        <f t="shared" ref="I80" ca="1" si="353">IF(OR(I$5="",I$5=0),"",IF(I$6=$D80,"W",IF(_xlfn.RANK.EQ(I79,$E79:$AI79,0)&lt;=INT($AO80),"P",IF(AND(_xlfn.RANK.EQ(I79,$E79:$AI79,0)=INT($AO80)+1,MOD($AO80,1)=0.5),"H","A"))))</f>
        <v>P</v>
      </c>
      <c r="J80" s="9" t="str">
        <f t="shared" ref="J80" ca="1" si="354">IF(OR(J$5="",J$5=0),"",IF(J$6=$D80,"W",IF(_xlfn.RANK.EQ(J79,$E79:$AI79,0)&lt;=INT($AO80),"P",IF(AND(_xlfn.RANK.EQ(J79,$E79:$AI79,0)=INT($AO80)+1,MOD($AO80,1)=0.5),"H","A"))))</f>
        <v>P</v>
      </c>
      <c r="K80" s="9" t="str">
        <f t="shared" ref="K80" ca="1" si="355">IF(OR(K$5="",K$5=0),"",IF(K$6=$D80,"W",IF(_xlfn.RANK.EQ(K79,$E79:$AI79,0)&lt;=INT($AO80),"P",IF(AND(_xlfn.RANK.EQ(K79,$E79:$AI79,0)=INT($AO80)+1,MOD($AO80,1)=0.5),"H","A"))))</f>
        <v>P</v>
      </c>
      <c r="L80" s="9" t="str">
        <f t="shared" ref="L80" ca="1" si="356">IF(OR(L$5="",L$5=0),"",IF(L$6=$D80,"W",IF(_xlfn.RANK.EQ(L79,$E79:$AI79,0)&lt;=INT($AO80),"P",IF(AND(_xlfn.RANK.EQ(L79,$E79:$AI79,0)=INT($AO80)+1,MOD($AO80,1)=0.5),"H","A"))))</f>
        <v>P</v>
      </c>
      <c r="M80" s="9" t="str">
        <f t="shared" ref="M80" ca="1" si="357">IF(OR(M$5="",M$5=0),"",IF(M$6=$D80,"W",IF(_xlfn.RANK.EQ(M79,$E79:$AI79,0)&lt;=INT($AO80),"P",IF(AND(_xlfn.RANK.EQ(M79,$E79:$AI79,0)=INT($AO80)+1,MOD($AO80,1)=0.5),"H","A"))))</f>
        <v>P</v>
      </c>
      <c r="N80" s="9" t="str">
        <f t="shared" ref="N80" ca="1" si="358">IF(OR(N$5="",N$5=0),"",IF(N$6=$D80,"W",IF(_xlfn.RANK.EQ(N79,$E79:$AI79,0)&lt;=INT($AO80),"P",IF(AND(_xlfn.RANK.EQ(N79,$E79:$AI79,0)=INT($AO80)+1,MOD($AO80,1)=0.5),"H","A"))))</f>
        <v>P</v>
      </c>
      <c r="O80" s="9" t="str">
        <f t="shared" ref="O80" si="359">IF(OR(O$5="",O$5=0),"",IF(O$6=$D80,"W",IF(_xlfn.RANK.EQ(O79,$E79:$AI79,0)&lt;=INT($AO80),"P",IF(AND(_xlfn.RANK.EQ(O79,$E79:$AI79,0)=INT($AO80)+1,MOD($AO80,1)=0.5),"H","A"))))</f>
        <v>W</v>
      </c>
      <c r="P80" s="9" t="str">
        <f t="shared" ref="P80" ca="1" si="360">IF(OR(P$5="",P$5=0),"",IF(P$6=$D80,"W",IF(_xlfn.RANK.EQ(P79,$E79:$AI79,0)&lt;=INT($AO80),"P",IF(AND(_xlfn.RANK.EQ(P79,$E79:$AI79,0)=INT($AO80)+1,MOD($AO80,1)=0.5),"H","A"))))</f>
        <v>A</v>
      </c>
      <c r="Q80" s="9" t="str">
        <f t="shared" ref="Q80" ca="1" si="361">IF(OR(Q$5="",Q$5=0),"",IF(Q$6=$D80,"W",IF(_xlfn.RANK.EQ(Q79,$E79:$AI79,0)&lt;=INT($AO80),"P",IF(AND(_xlfn.RANK.EQ(Q79,$E79:$AI79,0)=INT($AO80)+1,MOD($AO80,1)=0.5),"H","A"))))</f>
        <v>P</v>
      </c>
      <c r="R80" s="9" t="str">
        <f t="shared" ref="R80" ca="1" si="362">IF(OR(R$5="",R$5=0),"",IF(R$6=$D80,"W",IF(_xlfn.RANK.EQ(R79,$E79:$AI79,0)&lt;=INT($AO80),"P",IF(AND(_xlfn.RANK.EQ(R79,$E79:$AI79,0)=INT($AO80)+1,MOD($AO80,1)=0.5),"H","A"))))</f>
        <v>P</v>
      </c>
      <c r="S80" s="9" t="str">
        <f t="shared" ref="S80" ca="1" si="363">IF(OR(S$5="",S$5=0),"",IF(S$6=$D80,"W",IF(_xlfn.RANK.EQ(S79,$E79:$AI79,0)&lt;=INT($AO80),"P",IF(AND(_xlfn.RANK.EQ(S79,$E79:$AI79,0)=INT($AO80)+1,MOD($AO80,1)=0.5),"H","A"))))</f>
        <v>P</v>
      </c>
      <c r="T80" s="9" t="str">
        <f t="shared" ref="T80" ca="1" si="364">IF(OR(T$5="",T$5=0),"",IF(T$6=$D80,"W",IF(_xlfn.RANK.EQ(T79,$E79:$AI79,0)&lt;=INT($AO80),"P",IF(AND(_xlfn.RANK.EQ(T79,$E79:$AI79,0)=INT($AO80)+1,MOD($AO80,1)=0.5),"H","A"))))</f>
        <v>P</v>
      </c>
      <c r="U80" s="9" t="str">
        <f t="shared" ref="U80" ca="1" si="365">IF(OR(U$5="",U$5=0),"",IF(U$6=$D80,"W",IF(_xlfn.RANK.EQ(U79,$E79:$AI79,0)&lt;=INT($AO80),"P",IF(AND(_xlfn.RANK.EQ(U79,$E79:$AI79,0)=INT($AO80)+1,MOD($AO80,1)=0.5),"H","A"))))</f>
        <v>A</v>
      </c>
      <c r="V80" s="9" t="str">
        <f t="shared" ref="V80" si="366">IF(OR(V$5="",V$5=0),"",IF(V$6=$D80,"W",IF(_xlfn.RANK.EQ(V79,$E79:$AI79,0)&lt;=INT($AO80),"P",IF(AND(_xlfn.RANK.EQ(V79,$E79:$AI79,0)=INT($AO80)+1,MOD($AO80,1)=0.5),"H","A"))))</f>
        <v>W</v>
      </c>
      <c r="W80" s="9" t="str">
        <f t="shared" ref="W80" ca="1" si="367">IF(OR(W$5="",W$5=0),"",IF(W$6=$D80,"W",IF(_xlfn.RANK.EQ(W79,$E79:$AI79,0)&lt;=INT($AO80),"P",IF(AND(_xlfn.RANK.EQ(W79,$E79:$AI79,0)=INT($AO80)+1,MOD($AO80,1)=0.5),"H","A"))))</f>
        <v>P</v>
      </c>
      <c r="X80" s="9" t="str">
        <f t="shared" ref="X80" ca="1" si="368">IF(OR(X$5="",X$5=0),"",IF(X$6=$D80,"W",IF(_xlfn.RANK.EQ(X79,$E79:$AI79,0)&lt;=INT($AO80),"P",IF(AND(_xlfn.RANK.EQ(X79,$E79:$AI79,0)=INT($AO80)+1,MOD($AO80,1)=0.5),"H","A"))))</f>
        <v>P</v>
      </c>
      <c r="Y80" s="9" t="str">
        <f t="shared" ref="Y80" ca="1" si="369">IF(OR(Y$5="",Y$5=0),"",IF(Y$6=$D80,"W",IF(_xlfn.RANK.EQ(Y79,$E79:$AI79,0)&lt;=INT($AO80),"P",IF(AND(_xlfn.RANK.EQ(Y79,$E79:$AI79,0)=INT($AO80)+1,MOD($AO80,1)=0.5),"H","A"))))</f>
        <v>P</v>
      </c>
      <c r="Z80" s="9" t="str">
        <f t="shared" ref="Z80" ca="1" si="370">IF(OR(Z$5="",Z$5=0),"",IF(Z$6=$D80,"W",IF(_xlfn.RANK.EQ(Z79,$E79:$AI79,0)&lt;=INT($AO80),"P",IF(AND(_xlfn.RANK.EQ(Z79,$E79:$AI79,0)=INT($AO80)+1,MOD($AO80,1)=0.5),"H","A"))))</f>
        <v>P</v>
      </c>
      <c r="AA80" s="9" t="str">
        <f t="shared" ref="AA80" ca="1" si="371">IF(OR(AA$5="",AA$5=0),"",IF(AA$6=$D80,"W",IF(_xlfn.RANK.EQ(AA79,$E79:$AI79,0)&lt;=INT($AO80),"P",IF(AND(_xlfn.RANK.EQ(AA79,$E79:$AI79,0)=INT($AO80)+1,MOD($AO80,1)=0.5),"H","A"))))</f>
        <v>P</v>
      </c>
      <c r="AB80" s="9" t="str">
        <f t="shared" ref="AB80" ca="1" si="372">IF(OR(AB$5="",AB$5=0),"",IF(AB$6=$D80,"W",IF(_xlfn.RANK.EQ(AB79,$E79:$AI79,0)&lt;=INT($AO80),"P",IF(AND(_xlfn.RANK.EQ(AB79,$E79:$AI79,0)=INT($AO80)+1,MOD($AO80,1)=0.5),"H","A"))))</f>
        <v>P</v>
      </c>
      <c r="AC80" s="9" t="str">
        <f t="shared" ref="AC80" si="373">IF(OR(AC$5="",AC$5=0),"",IF(AC$6=$D80,"W",IF(_xlfn.RANK.EQ(AC79,$E79:$AI79,0)&lt;=INT($AO80),"P",IF(AND(_xlfn.RANK.EQ(AC79,$E79:$AI79,0)=INT($AO80)+1,MOD($AO80,1)=0.5),"H","A"))))</f>
        <v>W</v>
      </c>
      <c r="AD80" s="9" t="str">
        <f t="shared" ref="AD80" ca="1" si="374">IF(OR(AD$5="",AD$5=0),"",IF(AD$6=$D80,"W",IF(_xlfn.RANK.EQ(AD79,$E79:$AI79,0)&lt;=INT($AO80),"P",IF(AND(_xlfn.RANK.EQ(AD79,$E79:$AI79,0)=INT($AO80)+1,MOD($AO80,1)=0.5),"H","A"))))</f>
        <v>A</v>
      </c>
      <c r="AE80" s="9" t="str">
        <f t="shared" ref="AE80" ca="1" si="375">IF(OR(AE$5="",AE$5=0),"",IF(AE$6=$D80,"W",IF(_xlfn.RANK.EQ(AE79,$E79:$AI79,0)&lt;=INT($AO80),"P",IF(AND(_xlfn.RANK.EQ(AE79,$E79:$AI79,0)=INT($AO80)+1,MOD($AO80,1)=0.5),"H","A"))))</f>
        <v>P</v>
      </c>
      <c r="AF80" s="9" t="str">
        <f t="shared" ref="AF80" ca="1" si="376">IF(OR(AF$5="",AF$5=0),"",IF(AF$6=$D80,"W",IF(_xlfn.RANK.EQ(AF79,$E79:$AI79,0)&lt;=INT($AO80),"P",IF(AND(_xlfn.RANK.EQ(AF79,$E79:$AI79,0)=INT($AO80)+1,MOD($AO80,1)=0.5),"H","A"))))</f>
        <v>P</v>
      </c>
      <c r="AG80" s="9" t="str">
        <f t="shared" ref="AG80" ca="1" si="377">IF(OR(AG$5="",AG$5=0),"",IF(AG$6=$D80,"W",IF(_xlfn.RANK.EQ(AG79,$E79:$AI79,0)&lt;=INT($AO80),"P",IF(AND(_xlfn.RANK.EQ(AG79,$E79:$AI79,0)=INT($AO80)+1,MOD($AO80,1)=0.5),"H","A"))))</f>
        <v>P</v>
      </c>
      <c r="AH80" s="9" t="str">
        <f t="shared" ref="AH80" ca="1" si="378">IF(OR(AH$5="",AH$5=0),"",IF(AH$6=$D80,"W",IF(_xlfn.RANK.EQ(AH79,$E79:$AI79,0)&lt;=INT($AO80),"P",IF(AND(_xlfn.RANK.EQ(AH79,$E79:$AI79,0)=INT($AO80)+1,MOD($AO80,1)=0.5),"H","A"))))</f>
        <v>P</v>
      </c>
      <c r="AI80" s="9" t="str">
        <f t="shared" ref="AI80" ca="1" si="379">IF(OR(AI$5="",AI$5=0),"",IF(AI$6=$D80,"W",IF(_xlfn.RANK.EQ(AI79,$E79:$AI79,0)&lt;=INT($AO80),"P",IF(AND(_xlfn.RANK.EQ(AI79,$E79:$AI79,0)=INT($AO80)+1,MOD($AO80,1)=0.5),"H","A"))))</f>
        <v>P</v>
      </c>
      <c r="AJ80" s="16">
        <f t="shared" ref="AJ80" ca="1" si="380">COUNTIF(E80:AI80, "P")</f>
        <v>23</v>
      </c>
      <c r="AK80" s="17">
        <f t="shared" ref="AK80" ca="1" si="381">COUNTIF(E80:AH80, "A")</f>
        <v>4</v>
      </c>
      <c r="AL80" s="17">
        <f t="shared" ref="AL80" ca="1" si="382">COUNTIF(E80:AH80, "W")</f>
        <v>4</v>
      </c>
      <c r="AM80" s="17">
        <f t="shared" ref="AM80" ca="1" si="383">COUNTIF(E80:AH80, "H")</f>
        <v>0</v>
      </c>
      <c r="AN80" s="17">
        <f t="shared" ref="AN80" ca="1" si="384">COUNTIF(E80:AH80, "PL")</f>
        <v>0</v>
      </c>
      <c r="AO80" s="18">
        <v>23</v>
      </c>
    </row>
    <row r="81" spans="1:41" ht="15" x14ac:dyDescent="0.3">
      <c r="A81" s="19"/>
      <c r="B81" s="1" t="s">
        <v>22</v>
      </c>
      <c r="C81" s="48" t="s">
        <v>22</v>
      </c>
      <c r="D81" s="45" t="s">
        <v>1</v>
      </c>
      <c r="E81" s="20" t="str">
        <f t="shared" ref="E81:AH81" ca="1" si="385">IF(E80="P", IF($D79="G", TEXT(RAND()*(9.27-9.62)/24+9.62/24,"HH:MM"), IF($D79="A", TEXT(RAND()*(8.06-8.1)/24+8.15/24,"HH:MM"), IF($D79="B", TEXT(RAND()*(16.06-16.1)/24+16.15/24,"HH:MM"), IF($D79="C", TEXT(RAND()*(24.85-24.13)/24+24.13/24,"HH:MM"), " ")))), "")</f>
        <v/>
      </c>
      <c r="F81" s="20" t="str">
        <f t="shared" ca="1" si="385"/>
        <v>16:07</v>
      </c>
      <c r="G81" s="20" t="str">
        <f t="shared" ca="1" si="385"/>
        <v>16:07</v>
      </c>
      <c r="H81" s="20" t="str">
        <f t="shared" ca="1" si="385"/>
        <v/>
      </c>
      <c r="I81" s="20" t="str">
        <f t="shared" ca="1" si="385"/>
        <v>16:07</v>
      </c>
      <c r="J81" s="20" t="str">
        <f t="shared" ca="1" si="385"/>
        <v>16:07</v>
      </c>
      <c r="K81" s="20" t="str">
        <f t="shared" ca="1" si="385"/>
        <v>16:08</v>
      </c>
      <c r="L81" s="20" t="str">
        <f t="shared" ca="1" si="385"/>
        <v>16:07</v>
      </c>
      <c r="M81" s="20" t="str">
        <f t="shared" ca="1" si="385"/>
        <v>16:08</v>
      </c>
      <c r="N81" s="20" t="str">
        <f t="shared" ca="1" si="385"/>
        <v>16:07</v>
      </c>
      <c r="O81" s="20" t="str">
        <f t="shared" ca="1" si="385"/>
        <v/>
      </c>
      <c r="P81" s="20" t="str">
        <f t="shared" ca="1" si="385"/>
        <v/>
      </c>
      <c r="Q81" s="20" t="str">
        <f t="shared" ca="1" si="385"/>
        <v>16:08</v>
      </c>
      <c r="R81" s="20" t="str">
        <f t="shared" ca="1" si="385"/>
        <v>16:08</v>
      </c>
      <c r="S81" s="20" t="str">
        <f t="shared" ca="1" si="385"/>
        <v>16:07</v>
      </c>
      <c r="T81" s="20" t="str">
        <f t="shared" ca="1" si="385"/>
        <v>16:08</v>
      </c>
      <c r="U81" s="20" t="str">
        <f t="shared" ca="1" si="385"/>
        <v/>
      </c>
      <c r="V81" s="20" t="str">
        <f t="shared" ca="1" si="385"/>
        <v/>
      </c>
      <c r="W81" s="20" t="str">
        <f t="shared" ca="1" si="385"/>
        <v>16:07</v>
      </c>
      <c r="X81" s="20" t="str">
        <f t="shared" ca="1" si="385"/>
        <v>16:07</v>
      </c>
      <c r="Y81" s="20" t="str">
        <f t="shared" ca="1" si="385"/>
        <v>16:08</v>
      </c>
      <c r="Z81" s="20" t="str">
        <f t="shared" ca="1" si="385"/>
        <v>16:08</v>
      </c>
      <c r="AA81" s="20" t="str">
        <f t="shared" ca="1" si="385"/>
        <v>16:07</v>
      </c>
      <c r="AB81" s="20" t="str">
        <f t="shared" ca="1" si="385"/>
        <v>16:06</v>
      </c>
      <c r="AC81" s="20" t="str">
        <f t="shared" ca="1" si="385"/>
        <v/>
      </c>
      <c r="AD81" s="20" t="str">
        <f t="shared" ca="1" si="385"/>
        <v/>
      </c>
      <c r="AE81" s="20" t="str">
        <f t="shared" ca="1" si="385"/>
        <v>16:08</v>
      </c>
      <c r="AF81" s="20" t="str">
        <f t="shared" ca="1" si="385"/>
        <v>16:08</v>
      </c>
      <c r="AG81" s="20" t="str">
        <f t="shared" ca="1" si="385"/>
        <v>16:08</v>
      </c>
      <c r="AH81" s="20" t="str">
        <f t="shared" ca="1" si="385"/>
        <v>16:07</v>
      </c>
      <c r="AI81" s="20" t="str">
        <f t="shared" ca="1" si="338"/>
        <v>16:08</v>
      </c>
      <c r="AJ81" s="21"/>
      <c r="AK81" s="22"/>
      <c r="AL81" s="22"/>
      <c r="AM81" s="22"/>
      <c r="AN81" s="22"/>
      <c r="AO81" s="23" t="s">
        <v>22</v>
      </c>
    </row>
    <row r="82" spans="1:41" ht="15" x14ac:dyDescent="0.3">
      <c r="A82" s="19"/>
      <c r="B82" s="1" t="s">
        <v>22</v>
      </c>
      <c r="C82" s="48" t="s">
        <v>22</v>
      </c>
      <c r="D82" s="45" t="s">
        <v>2</v>
      </c>
      <c r="E82" s="20" t="str">
        <f t="shared" ref="E82:AH82" ca="1" si="386">IF(E80="P", IF($D79="G", TEXT(RAND()*(18.85-18.13)/24+18.13/24,"HH:MM"), IF($D79="A", TEXT(RAND()*(16.85-16.13)/24+16.13/24,"HH:MM"), IF($D79="B", TEXT(RAND()*(24.85-24.13)/24+24.13/24,"HH:MM"), IF($D79="C", TEXT(RAND()*(8.85-8.13)/24+8.13/24,"HH:MM"), " ")))), "")</f>
        <v/>
      </c>
      <c r="F82" s="20" t="str">
        <f t="shared" ca="1" si="386"/>
        <v>00:11</v>
      </c>
      <c r="G82" s="20" t="str">
        <f t="shared" ca="1" si="386"/>
        <v>00:23</v>
      </c>
      <c r="H82" s="20" t="str">
        <f t="shared" ca="1" si="386"/>
        <v/>
      </c>
      <c r="I82" s="20" t="str">
        <f t="shared" ca="1" si="386"/>
        <v>00:44</v>
      </c>
      <c r="J82" s="20" t="str">
        <f t="shared" ca="1" si="386"/>
        <v>00:38</v>
      </c>
      <c r="K82" s="20" t="str">
        <f t="shared" ca="1" si="386"/>
        <v>00:11</v>
      </c>
      <c r="L82" s="20" t="str">
        <f t="shared" ca="1" si="386"/>
        <v>00:24</v>
      </c>
      <c r="M82" s="20" t="str">
        <f t="shared" ca="1" si="386"/>
        <v>00:44</v>
      </c>
      <c r="N82" s="20" t="str">
        <f t="shared" ca="1" si="386"/>
        <v>00:44</v>
      </c>
      <c r="O82" s="20" t="str">
        <f t="shared" ca="1" si="386"/>
        <v/>
      </c>
      <c r="P82" s="20" t="str">
        <f t="shared" ca="1" si="386"/>
        <v/>
      </c>
      <c r="Q82" s="20" t="str">
        <f t="shared" ca="1" si="386"/>
        <v>00:20</v>
      </c>
      <c r="R82" s="20" t="str">
        <f t="shared" ca="1" si="386"/>
        <v>00:38</v>
      </c>
      <c r="S82" s="20" t="str">
        <f t="shared" ca="1" si="386"/>
        <v>00:15</v>
      </c>
      <c r="T82" s="20" t="str">
        <f t="shared" ca="1" si="386"/>
        <v>00:11</v>
      </c>
      <c r="U82" s="20" t="str">
        <f t="shared" ca="1" si="386"/>
        <v/>
      </c>
      <c r="V82" s="20" t="str">
        <f t="shared" ca="1" si="386"/>
        <v/>
      </c>
      <c r="W82" s="20" t="str">
        <f t="shared" ca="1" si="386"/>
        <v>00:47</v>
      </c>
      <c r="X82" s="20" t="str">
        <f t="shared" ca="1" si="386"/>
        <v>00:44</v>
      </c>
      <c r="Y82" s="20" t="str">
        <f t="shared" ca="1" si="386"/>
        <v>00:44</v>
      </c>
      <c r="Z82" s="20" t="str">
        <f t="shared" ca="1" si="386"/>
        <v>00:20</v>
      </c>
      <c r="AA82" s="20" t="str">
        <f t="shared" ca="1" si="386"/>
        <v>00:36</v>
      </c>
      <c r="AB82" s="20" t="str">
        <f t="shared" ca="1" si="386"/>
        <v>00:40</v>
      </c>
      <c r="AC82" s="20" t="str">
        <f t="shared" ca="1" si="386"/>
        <v/>
      </c>
      <c r="AD82" s="20" t="str">
        <f t="shared" ca="1" si="386"/>
        <v/>
      </c>
      <c r="AE82" s="20" t="str">
        <f t="shared" ca="1" si="386"/>
        <v>00:26</v>
      </c>
      <c r="AF82" s="20" t="str">
        <f t="shared" ca="1" si="386"/>
        <v>00:47</v>
      </c>
      <c r="AG82" s="20" t="str">
        <f t="shared" ca="1" si="386"/>
        <v>00:26</v>
      </c>
      <c r="AH82" s="20" t="str">
        <f t="shared" ca="1" si="386"/>
        <v>00:22</v>
      </c>
      <c r="AI82" s="20" t="str">
        <f t="shared" ca="1" si="339"/>
        <v>00:39</v>
      </c>
      <c r="AJ82" s="24" t="s">
        <v>13</v>
      </c>
      <c r="AK82" s="25"/>
      <c r="AL82" s="25"/>
      <c r="AM82" s="25"/>
      <c r="AN82" s="25"/>
      <c r="AO82" s="23" t="s">
        <v>22</v>
      </c>
    </row>
    <row r="83" spans="1:41" ht="15" x14ac:dyDescent="0.3">
      <c r="A83" s="26"/>
      <c r="B83" s="1" t="s">
        <v>22</v>
      </c>
      <c r="C83" s="48" t="s">
        <v>22</v>
      </c>
      <c r="D83" s="45" t="s">
        <v>14</v>
      </c>
      <c r="E83" s="27" t="str">
        <f t="shared" ref="E83:AH83" ca="1" si="387">IF(E80="P", MOD(E82-E81, 1), " ")</f>
        <v xml:space="preserve"> </v>
      </c>
      <c r="F83" s="27">
        <f t="shared" ca="1" si="387"/>
        <v>0.33611111111111114</v>
      </c>
      <c r="G83" s="27">
        <f t="shared" ca="1" si="387"/>
        <v>0.34444444444444455</v>
      </c>
      <c r="H83" s="27" t="str">
        <f t="shared" si="387"/>
        <v xml:space="preserve"> </v>
      </c>
      <c r="I83" s="27">
        <f t="shared" ca="1" si="387"/>
        <v>0.35902777777777783</v>
      </c>
      <c r="J83" s="27">
        <f t="shared" ca="1" si="387"/>
        <v>0.35486111111111118</v>
      </c>
      <c r="K83" s="27">
        <f t="shared" ca="1" si="387"/>
        <v>0.33541666666666659</v>
      </c>
      <c r="L83" s="27">
        <f t="shared" ca="1" si="387"/>
        <v>0.34513888888888899</v>
      </c>
      <c r="M83" s="27">
        <f t="shared" ca="1" si="387"/>
        <v>0.35833333333333328</v>
      </c>
      <c r="N83" s="27">
        <f t="shared" ca="1" si="387"/>
        <v>0.35902777777777783</v>
      </c>
      <c r="O83" s="27" t="str">
        <f t="shared" si="387"/>
        <v xml:space="preserve"> </v>
      </c>
      <c r="P83" s="27" t="str">
        <f t="shared" ca="1" si="387"/>
        <v xml:space="preserve"> </v>
      </c>
      <c r="Q83" s="27">
        <f t="shared" ca="1" si="387"/>
        <v>0.34166666666666656</v>
      </c>
      <c r="R83" s="27">
        <f t="shared" ca="1" si="387"/>
        <v>0.35416666666666663</v>
      </c>
      <c r="S83" s="27">
        <f t="shared" ca="1" si="387"/>
        <v>0.33888888888888891</v>
      </c>
      <c r="T83" s="27">
        <f t="shared" ca="1" si="387"/>
        <v>0.33541666666666659</v>
      </c>
      <c r="U83" s="27" t="str">
        <f t="shared" ca="1" si="387"/>
        <v xml:space="preserve"> </v>
      </c>
      <c r="V83" s="27" t="str">
        <f t="shared" si="387"/>
        <v xml:space="preserve"> </v>
      </c>
      <c r="W83" s="27">
        <f t="shared" ca="1" si="387"/>
        <v>0.36111111111111116</v>
      </c>
      <c r="X83" s="27">
        <f t="shared" ca="1" si="387"/>
        <v>0.35902777777777783</v>
      </c>
      <c r="Y83" s="27">
        <f t="shared" ca="1" si="387"/>
        <v>0.35833333333333328</v>
      </c>
      <c r="Z83" s="27">
        <f t="shared" ca="1" si="387"/>
        <v>0.34166666666666656</v>
      </c>
      <c r="AA83" s="27">
        <f t="shared" ca="1" si="387"/>
        <v>0.3534722222222223</v>
      </c>
      <c r="AB83" s="27">
        <f t="shared" ca="1" si="387"/>
        <v>0.35694444444444451</v>
      </c>
      <c r="AC83" s="27" t="str">
        <f t="shared" si="387"/>
        <v xml:space="preserve"> </v>
      </c>
      <c r="AD83" s="27" t="str">
        <f t="shared" ca="1" si="387"/>
        <v xml:space="preserve"> </v>
      </c>
      <c r="AE83" s="27">
        <f t="shared" ca="1" si="387"/>
        <v>0.34583333333333333</v>
      </c>
      <c r="AF83" s="27">
        <f t="shared" ca="1" si="387"/>
        <v>0.36041666666666661</v>
      </c>
      <c r="AG83" s="27">
        <f t="shared" ca="1" si="387"/>
        <v>0.34583333333333333</v>
      </c>
      <c r="AH83" s="27">
        <f t="shared" ca="1" si="387"/>
        <v>0.34375</v>
      </c>
      <c r="AI83" s="27">
        <f t="shared" ca="1" si="340"/>
        <v>0.35486111111111107</v>
      </c>
      <c r="AJ83" s="28">
        <f t="shared" ref="AJ83" ca="1" si="388">AJ80*8</f>
        <v>184</v>
      </c>
      <c r="AK83" s="29"/>
      <c r="AL83" s="29"/>
      <c r="AM83" s="29"/>
      <c r="AN83" s="29"/>
      <c r="AO83" s="23" t="s">
        <v>22</v>
      </c>
    </row>
    <row r="84" spans="1:41" ht="15" x14ac:dyDescent="0.3">
      <c r="A84" s="26"/>
      <c r="B84" s="1" t="s">
        <v>22</v>
      </c>
      <c r="C84" s="48" t="s">
        <v>22</v>
      </c>
      <c r="D84" s="45" t="s">
        <v>19</v>
      </c>
      <c r="E84" s="27" t="str">
        <f t="shared" ref="E84:AH84" ca="1" si="389">IF(E80="P","08:00"," ")</f>
        <v xml:space="preserve"> </v>
      </c>
      <c r="F84" s="27" t="str">
        <f t="shared" ca="1" si="389"/>
        <v>08:00</v>
      </c>
      <c r="G84" s="27" t="str">
        <f t="shared" ca="1" si="389"/>
        <v>08:00</v>
      </c>
      <c r="H84" s="27" t="str">
        <f t="shared" si="389"/>
        <v xml:space="preserve"> </v>
      </c>
      <c r="I84" s="27" t="str">
        <f t="shared" ca="1" si="389"/>
        <v>08:00</v>
      </c>
      <c r="J84" s="27" t="str">
        <f t="shared" ca="1" si="389"/>
        <v>08:00</v>
      </c>
      <c r="K84" s="27" t="str">
        <f t="shared" ca="1" si="389"/>
        <v>08:00</v>
      </c>
      <c r="L84" s="27" t="str">
        <f t="shared" ca="1" si="389"/>
        <v>08:00</v>
      </c>
      <c r="M84" s="27" t="str">
        <f t="shared" ca="1" si="389"/>
        <v>08:00</v>
      </c>
      <c r="N84" s="27" t="str">
        <f t="shared" ca="1" si="389"/>
        <v>08:00</v>
      </c>
      <c r="O84" s="27" t="str">
        <f t="shared" si="389"/>
        <v xml:space="preserve"> </v>
      </c>
      <c r="P84" s="27" t="str">
        <f t="shared" ca="1" si="389"/>
        <v xml:space="preserve"> </v>
      </c>
      <c r="Q84" s="27" t="str">
        <f t="shared" ca="1" si="389"/>
        <v>08:00</v>
      </c>
      <c r="R84" s="27" t="str">
        <f t="shared" ca="1" si="389"/>
        <v>08:00</v>
      </c>
      <c r="S84" s="27" t="str">
        <f t="shared" ca="1" si="389"/>
        <v>08:00</v>
      </c>
      <c r="T84" s="27" t="str">
        <f t="shared" ca="1" si="389"/>
        <v>08:00</v>
      </c>
      <c r="U84" s="27" t="str">
        <f t="shared" ca="1" si="389"/>
        <v xml:space="preserve"> </v>
      </c>
      <c r="V84" s="27" t="str">
        <f t="shared" si="389"/>
        <v xml:space="preserve"> </v>
      </c>
      <c r="W84" s="27" t="str">
        <f t="shared" ca="1" si="389"/>
        <v>08:00</v>
      </c>
      <c r="X84" s="27" t="str">
        <f t="shared" ca="1" si="389"/>
        <v>08:00</v>
      </c>
      <c r="Y84" s="27" t="str">
        <f t="shared" ca="1" si="389"/>
        <v>08:00</v>
      </c>
      <c r="Z84" s="27" t="str">
        <f t="shared" ca="1" si="389"/>
        <v>08:00</v>
      </c>
      <c r="AA84" s="27" t="str">
        <f t="shared" ca="1" si="389"/>
        <v>08:00</v>
      </c>
      <c r="AB84" s="27" t="str">
        <f t="shared" ca="1" si="389"/>
        <v>08:00</v>
      </c>
      <c r="AC84" s="27" t="str">
        <f t="shared" si="389"/>
        <v xml:space="preserve"> </v>
      </c>
      <c r="AD84" s="27" t="str">
        <f t="shared" ca="1" si="389"/>
        <v xml:space="preserve"> </v>
      </c>
      <c r="AE84" s="27" t="str">
        <f t="shared" ca="1" si="389"/>
        <v>08:00</v>
      </c>
      <c r="AF84" s="27" t="str">
        <f t="shared" ca="1" si="389"/>
        <v>08:00</v>
      </c>
      <c r="AG84" s="27" t="str">
        <f t="shared" ca="1" si="389"/>
        <v>08:00</v>
      </c>
      <c r="AH84" s="27" t="str">
        <f t="shared" ca="1" si="389"/>
        <v>08:00</v>
      </c>
      <c r="AI84" s="27" t="str">
        <f t="shared" ca="1" si="342"/>
        <v>08:00</v>
      </c>
      <c r="AJ84" s="28"/>
      <c r="AK84" s="29"/>
      <c r="AL84" s="29"/>
      <c r="AM84" s="29"/>
      <c r="AN84" s="29"/>
      <c r="AO84" s="23" t="s">
        <v>22</v>
      </c>
    </row>
    <row r="85" spans="1:41" ht="15" x14ac:dyDescent="0.3">
      <c r="A85" s="26"/>
      <c r="B85" s="1" t="s">
        <v>22</v>
      </c>
      <c r="C85" s="48" t="s">
        <v>22</v>
      </c>
      <c r="D85" s="45" t="s">
        <v>12</v>
      </c>
      <c r="E85" s="27" t="str">
        <f t="shared" ref="E85:AH85" ca="1" si="390">IF(E80="P","01:00"," ")</f>
        <v xml:space="preserve"> </v>
      </c>
      <c r="F85" s="27" t="str">
        <f t="shared" ca="1" si="390"/>
        <v>01:00</v>
      </c>
      <c r="G85" s="27" t="str">
        <f t="shared" ca="1" si="390"/>
        <v>01:00</v>
      </c>
      <c r="H85" s="27" t="str">
        <f t="shared" si="390"/>
        <v xml:space="preserve"> </v>
      </c>
      <c r="I85" s="27" t="str">
        <f t="shared" ca="1" si="390"/>
        <v>01:00</v>
      </c>
      <c r="J85" s="27" t="str">
        <f t="shared" ca="1" si="390"/>
        <v>01:00</v>
      </c>
      <c r="K85" s="27" t="str">
        <f t="shared" ca="1" si="390"/>
        <v>01:00</v>
      </c>
      <c r="L85" s="27" t="str">
        <f t="shared" ca="1" si="390"/>
        <v>01:00</v>
      </c>
      <c r="M85" s="27" t="str">
        <f t="shared" ca="1" si="390"/>
        <v>01:00</v>
      </c>
      <c r="N85" s="27" t="str">
        <f t="shared" ca="1" si="390"/>
        <v>01:00</v>
      </c>
      <c r="O85" s="27" t="str">
        <f t="shared" si="390"/>
        <v xml:space="preserve"> </v>
      </c>
      <c r="P85" s="27" t="str">
        <f t="shared" ca="1" si="390"/>
        <v xml:space="preserve"> </v>
      </c>
      <c r="Q85" s="27" t="str">
        <f t="shared" ca="1" si="390"/>
        <v>01:00</v>
      </c>
      <c r="R85" s="27" t="str">
        <f t="shared" ca="1" si="390"/>
        <v>01:00</v>
      </c>
      <c r="S85" s="27" t="str">
        <f t="shared" ca="1" si="390"/>
        <v>01:00</v>
      </c>
      <c r="T85" s="27" t="str">
        <f t="shared" ca="1" si="390"/>
        <v>01:00</v>
      </c>
      <c r="U85" s="27" t="str">
        <f t="shared" ca="1" si="390"/>
        <v xml:space="preserve"> </v>
      </c>
      <c r="V85" s="27" t="str">
        <f t="shared" si="390"/>
        <v xml:space="preserve"> </v>
      </c>
      <c r="W85" s="27" t="str">
        <f t="shared" ca="1" si="390"/>
        <v>01:00</v>
      </c>
      <c r="X85" s="27" t="str">
        <f t="shared" ca="1" si="390"/>
        <v>01:00</v>
      </c>
      <c r="Y85" s="27" t="str">
        <f t="shared" ca="1" si="390"/>
        <v>01:00</v>
      </c>
      <c r="Z85" s="27" t="str">
        <f t="shared" ca="1" si="390"/>
        <v>01:00</v>
      </c>
      <c r="AA85" s="27" t="str">
        <f t="shared" ca="1" si="390"/>
        <v>01:00</v>
      </c>
      <c r="AB85" s="27" t="str">
        <f t="shared" ca="1" si="390"/>
        <v>01:00</v>
      </c>
      <c r="AC85" s="27" t="str">
        <f t="shared" si="390"/>
        <v xml:space="preserve"> </v>
      </c>
      <c r="AD85" s="27" t="str">
        <f t="shared" ca="1" si="390"/>
        <v xml:space="preserve"> </v>
      </c>
      <c r="AE85" s="27" t="str">
        <f t="shared" ca="1" si="390"/>
        <v>01:00</v>
      </c>
      <c r="AF85" s="27" t="str">
        <f t="shared" ca="1" si="390"/>
        <v>01:00</v>
      </c>
      <c r="AG85" s="27" t="str">
        <f t="shared" ca="1" si="390"/>
        <v>01:00</v>
      </c>
      <c r="AH85" s="27" t="str">
        <f t="shared" ca="1" si="390"/>
        <v>01:00</v>
      </c>
      <c r="AI85" s="27" t="str">
        <f t="shared" ca="1" si="343"/>
        <v>01:00</v>
      </c>
      <c r="AJ85" s="24" t="s">
        <v>11</v>
      </c>
      <c r="AK85" s="25"/>
      <c r="AL85" s="25"/>
      <c r="AM85" s="25"/>
      <c r="AN85" s="25"/>
      <c r="AO85" s="23" t="s">
        <v>22</v>
      </c>
    </row>
    <row r="86" spans="1:41" ht="15" x14ac:dyDescent="0.3">
      <c r="A86" s="26"/>
      <c r="B86" s="1" t="s">
        <v>22</v>
      </c>
      <c r="C86" s="48" t="s">
        <v>22</v>
      </c>
      <c r="D86" s="45" t="s">
        <v>11</v>
      </c>
      <c r="E86" s="27" t="str">
        <f t="shared" ref="E86:AH86" ca="1" si="391">IF(E80="P",E83-E85," ")</f>
        <v xml:space="preserve"> </v>
      </c>
      <c r="F86" s="27">
        <f t="shared" ca="1" si="391"/>
        <v>0.29444444444444445</v>
      </c>
      <c r="G86" s="27">
        <f t="shared" ca="1" si="391"/>
        <v>0.30277777777777787</v>
      </c>
      <c r="H86" s="27" t="str">
        <f t="shared" si="391"/>
        <v xml:space="preserve"> </v>
      </c>
      <c r="I86" s="27">
        <f t="shared" ca="1" si="391"/>
        <v>0.31736111111111115</v>
      </c>
      <c r="J86" s="27">
        <f t="shared" ca="1" si="391"/>
        <v>0.3131944444444445</v>
      </c>
      <c r="K86" s="27">
        <f t="shared" ca="1" si="391"/>
        <v>0.2937499999999999</v>
      </c>
      <c r="L86" s="27">
        <f t="shared" ca="1" si="391"/>
        <v>0.30347222222222231</v>
      </c>
      <c r="M86" s="27">
        <f t="shared" ca="1" si="391"/>
        <v>0.3166666666666666</v>
      </c>
      <c r="N86" s="27">
        <f t="shared" ca="1" si="391"/>
        <v>0.31736111111111115</v>
      </c>
      <c r="O86" s="27" t="str">
        <f t="shared" si="391"/>
        <v xml:space="preserve"> </v>
      </c>
      <c r="P86" s="27" t="str">
        <f t="shared" ca="1" si="391"/>
        <v xml:space="preserve"> </v>
      </c>
      <c r="Q86" s="27">
        <f t="shared" ca="1" si="391"/>
        <v>0.29999999999999988</v>
      </c>
      <c r="R86" s="27">
        <f t="shared" ca="1" si="391"/>
        <v>0.31249999999999994</v>
      </c>
      <c r="S86" s="27">
        <f t="shared" ca="1" si="391"/>
        <v>0.29722222222222222</v>
      </c>
      <c r="T86" s="27">
        <f t="shared" ca="1" si="391"/>
        <v>0.2937499999999999</v>
      </c>
      <c r="U86" s="27" t="str">
        <f t="shared" ca="1" si="391"/>
        <v xml:space="preserve"> </v>
      </c>
      <c r="V86" s="27" t="str">
        <f t="shared" si="391"/>
        <v xml:space="preserve"> </v>
      </c>
      <c r="W86" s="27">
        <f t="shared" ca="1" si="391"/>
        <v>0.31944444444444448</v>
      </c>
      <c r="X86" s="27">
        <f t="shared" ca="1" si="391"/>
        <v>0.31736111111111115</v>
      </c>
      <c r="Y86" s="27">
        <f t="shared" ca="1" si="391"/>
        <v>0.3166666666666666</v>
      </c>
      <c r="Z86" s="27">
        <f t="shared" ca="1" si="391"/>
        <v>0.29999999999999988</v>
      </c>
      <c r="AA86" s="27">
        <f t="shared" ca="1" si="391"/>
        <v>0.31180555555555561</v>
      </c>
      <c r="AB86" s="27">
        <f t="shared" ca="1" si="391"/>
        <v>0.31527777777777782</v>
      </c>
      <c r="AC86" s="27" t="str">
        <f t="shared" si="391"/>
        <v xml:space="preserve"> </v>
      </c>
      <c r="AD86" s="27" t="str">
        <f t="shared" ca="1" si="391"/>
        <v xml:space="preserve"> </v>
      </c>
      <c r="AE86" s="27">
        <f t="shared" ca="1" si="391"/>
        <v>0.30416666666666664</v>
      </c>
      <c r="AF86" s="27">
        <f t="shared" ca="1" si="391"/>
        <v>0.31874999999999992</v>
      </c>
      <c r="AG86" s="27">
        <f t="shared" ca="1" si="391"/>
        <v>0.30416666666666664</v>
      </c>
      <c r="AH86" s="27">
        <f t="shared" ca="1" si="391"/>
        <v>0.30208333333333331</v>
      </c>
      <c r="AI86" s="27">
        <f t="shared" ca="1" si="344"/>
        <v>0.31319444444444439</v>
      </c>
      <c r="AJ86" s="30">
        <f t="shared" ref="AJ86:AJ87" ca="1" si="392">SUM(E86:AH86)</f>
        <v>6.7722222222222213</v>
      </c>
      <c r="AK86" s="25"/>
      <c r="AL86" s="25"/>
      <c r="AM86" s="25"/>
      <c r="AN86" s="25"/>
      <c r="AO86" s="23" t="s">
        <v>22</v>
      </c>
    </row>
    <row r="87" spans="1:41" ht="15.6" thickBot="1" x14ac:dyDescent="0.35">
      <c r="A87" s="31"/>
      <c r="B87" s="32" t="s">
        <v>22</v>
      </c>
      <c r="C87" s="49" t="s">
        <v>22</v>
      </c>
      <c r="D87" s="46" t="s">
        <v>20</v>
      </c>
      <c r="E87" s="33" t="str">
        <f t="shared" ref="E87:AH87" ca="1" si="393">IF(E80="P",(IF(E84&gt;E86,0,E86-E84))," ")</f>
        <v xml:space="preserve"> </v>
      </c>
      <c r="F87" s="33">
        <f t="shared" ca="1" si="393"/>
        <v>0</v>
      </c>
      <c r="G87" s="33">
        <f t="shared" ca="1" si="393"/>
        <v>0</v>
      </c>
      <c r="H87" s="33" t="str">
        <f t="shared" si="393"/>
        <v xml:space="preserve"> </v>
      </c>
      <c r="I87" s="33">
        <f t="shared" ca="1" si="393"/>
        <v>0</v>
      </c>
      <c r="J87" s="33">
        <f t="shared" ca="1" si="393"/>
        <v>0</v>
      </c>
      <c r="K87" s="33">
        <f t="shared" ca="1" si="393"/>
        <v>0</v>
      </c>
      <c r="L87" s="33">
        <f t="shared" ca="1" si="393"/>
        <v>0</v>
      </c>
      <c r="M87" s="33">
        <f t="shared" ca="1" si="393"/>
        <v>0</v>
      </c>
      <c r="N87" s="33">
        <f t="shared" ca="1" si="393"/>
        <v>0</v>
      </c>
      <c r="O87" s="33" t="str">
        <f t="shared" si="393"/>
        <v xml:space="preserve"> </v>
      </c>
      <c r="P87" s="33" t="str">
        <f t="shared" ca="1" si="393"/>
        <v xml:space="preserve"> </v>
      </c>
      <c r="Q87" s="33">
        <f t="shared" ca="1" si="393"/>
        <v>0</v>
      </c>
      <c r="R87" s="33">
        <f t="shared" ca="1" si="393"/>
        <v>0</v>
      </c>
      <c r="S87" s="33">
        <f t="shared" ca="1" si="393"/>
        <v>0</v>
      </c>
      <c r="T87" s="33">
        <f t="shared" ca="1" si="393"/>
        <v>0</v>
      </c>
      <c r="U87" s="33" t="str">
        <f t="shared" ca="1" si="393"/>
        <v xml:space="preserve"> </v>
      </c>
      <c r="V87" s="33" t="str">
        <f t="shared" si="393"/>
        <v xml:space="preserve"> </v>
      </c>
      <c r="W87" s="33">
        <f t="shared" ca="1" si="393"/>
        <v>0</v>
      </c>
      <c r="X87" s="33">
        <f t="shared" ca="1" si="393"/>
        <v>0</v>
      </c>
      <c r="Y87" s="33">
        <f t="shared" ca="1" si="393"/>
        <v>0</v>
      </c>
      <c r="Z87" s="33">
        <f t="shared" ca="1" si="393"/>
        <v>0</v>
      </c>
      <c r="AA87" s="33">
        <f t="shared" ca="1" si="393"/>
        <v>0</v>
      </c>
      <c r="AB87" s="33">
        <f t="shared" ca="1" si="393"/>
        <v>0</v>
      </c>
      <c r="AC87" s="33" t="str">
        <f t="shared" si="393"/>
        <v xml:space="preserve"> </v>
      </c>
      <c r="AD87" s="33" t="str">
        <f t="shared" ca="1" si="393"/>
        <v xml:space="preserve"> </v>
      </c>
      <c r="AE87" s="33">
        <f t="shared" ca="1" si="393"/>
        <v>0</v>
      </c>
      <c r="AF87" s="33">
        <f t="shared" ca="1" si="393"/>
        <v>0</v>
      </c>
      <c r="AG87" s="33">
        <f t="shared" ca="1" si="393"/>
        <v>0</v>
      </c>
      <c r="AH87" s="33">
        <f t="shared" ca="1" si="393"/>
        <v>0</v>
      </c>
      <c r="AI87" s="33">
        <f t="shared" ca="1" si="346"/>
        <v>0</v>
      </c>
      <c r="AJ87" s="34">
        <f t="shared" ca="1" si="392"/>
        <v>0</v>
      </c>
      <c r="AK87" s="35"/>
      <c r="AL87" s="35"/>
      <c r="AM87" s="35"/>
      <c r="AN87" s="35"/>
      <c r="AO87" s="36" t="s">
        <v>22</v>
      </c>
    </row>
    <row r="88" spans="1:41" ht="15.6" thickBot="1" x14ac:dyDescent="0.35">
      <c r="A88" s="14"/>
      <c r="B88" s="15" t="s">
        <v>22</v>
      </c>
      <c r="C88" s="47" t="s">
        <v>22</v>
      </c>
      <c r="D88" s="37" t="s">
        <v>69</v>
      </c>
      <c r="E88" s="9">
        <f t="shared" ref="E88:T88" ca="1" si="394">IF(OR(E$5="",E$5=0),-2,IF(E$6=$D89,-1,RAND()))</f>
        <v>0.81705840147989806</v>
      </c>
      <c r="F88" s="9">
        <f t="shared" ca="1" si="394"/>
        <v>0.46816376263690007</v>
      </c>
      <c r="G88" s="9">
        <f t="shared" ca="1" si="394"/>
        <v>0.43056430327773665</v>
      </c>
      <c r="H88" s="9">
        <f t="shared" ca="1" si="394"/>
        <v>0.818724037395134</v>
      </c>
      <c r="I88" s="9">
        <f t="shared" ca="1" si="394"/>
        <v>0.42280031472362167</v>
      </c>
      <c r="J88" s="9">
        <f t="shared" ca="1" si="394"/>
        <v>0.9640390007235039</v>
      </c>
      <c r="K88" s="9">
        <f t="shared" ca="1" si="394"/>
        <v>-1</v>
      </c>
      <c r="L88" s="9">
        <f t="shared" ca="1" si="394"/>
        <v>0.21150529183385169</v>
      </c>
      <c r="M88" s="9">
        <f t="shared" ca="1" si="394"/>
        <v>0.28894090484140056</v>
      </c>
      <c r="N88" s="9">
        <f t="shared" ca="1" si="394"/>
        <v>0.48642489271199507</v>
      </c>
      <c r="O88" s="9">
        <f t="shared" ca="1" si="394"/>
        <v>0.79787426028029307</v>
      </c>
      <c r="P88" s="9">
        <f t="shared" ca="1" si="394"/>
        <v>0.15390252852926956</v>
      </c>
      <c r="Q88" s="9">
        <f t="shared" ca="1" si="394"/>
        <v>0.50866645743757199</v>
      </c>
      <c r="R88" s="9">
        <f t="shared" ca="1" si="394"/>
        <v>-1</v>
      </c>
      <c r="S88" s="9">
        <f t="shared" ca="1" si="394"/>
        <v>0.22023054001631759</v>
      </c>
      <c r="T88" s="9">
        <f t="shared" ca="1" si="394"/>
        <v>0.83575068215848103</v>
      </c>
      <c r="U88" s="9">
        <f t="shared" ref="U88:AI88" ca="1" si="395">IF(OR(U$5="",U$5=0),-2,IF(U$6=$D89,-1,RAND()))</f>
        <v>0.86523347945480777</v>
      </c>
      <c r="V88" s="9">
        <f t="shared" ca="1" si="395"/>
        <v>0.47548517854556194</v>
      </c>
      <c r="W88" s="9">
        <f t="shared" ca="1" si="395"/>
        <v>0.60815721245402254</v>
      </c>
      <c r="X88" s="9">
        <f t="shared" ca="1" si="395"/>
        <v>0.28465105961901849</v>
      </c>
      <c r="Y88" s="9">
        <f t="shared" ca="1" si="395"/>
        <v>-1</v>
      </c>
      <c r="Z88" s="9">
        <f t="shared" ca="1" si="395"/>
        <v>0.8341532854917354</v>
      </c>
      <c r="AA88" s="9">
        <f t="shared" ca="1" si="395"/>
        <v>3.9671833141773805E-2</v>
      </c>
      <c r="AB88" s="9">
        <f t="shared" ca="1" si="395"/>
        <v>0.37105381354336975</v>
      </c>
      <c r="AC88" s="9">
        <f t="shared" ca="1" si="395"/>
        <v>0.52626184896234607</v>
      </c>
      <c r="AD88" s="9">
        <f t="shared" ca="1" si="395"/>
        <v>3.5539442757496431E-2</v>
      </c>
      <c r="AE88" s="9">
        <f t="shared" ca="1" si="395"/>
        <v>0.57770297875040022</v>
      </c>
      <c r="AF88" s="9">
        <f t="shared" ca="1" si="395"/>
        <v>-1</v>
      </c>
      <c r="AG88" s="9">
        <f t="shared" ca="1" si="395"/>
        <v>7.1765668568649632E-2</v>
      </c>
      <c r="AH88" s="9">
        <f t="shared" ca="1" si="395"/>
        <v>0.97320692957418975</v>
      </c>
      <c r="AI88" s="9">
        <f t="shared" ca="1" si="395"/>
        <v>0.42232426690238423</v>
      </c>
      <c r="AJ88" s="38"/>
      <c r="AK88" s="37"/>
      <c r="AL88" s="37"/>
      <c r="AM88" s="37"/>
      <c r="AN88" s="37"/>
      <c r="AO88" s="39" t="s">
        <v>22</v>
      </c>
    </row>
    <row r="89" spans="1:41" ht="15.6" thickBot="1" x14ac:dyDescent="0.35">
      <c r="A89" s="42"/>
      <c r="B89" s="44" t="s">
        <v>31</v>
      </c>
      <c r="C89" s="43" t="s">
        <v>53</v>
      </c>
      <c r="D89" s="37" t="s">
        <v>15</v>
      </c>
      <c r="E89" s="9" t="str">
        <f t="shared" ref="E89" ca="1" si="396">IF(OR(E$5="",E$5=0),"",IF(E$6=$D89,"W",IF(_xlfn.RANK.EQ(E88,$E88:$AI88,0)&lt;=INT($AO89),"P",IF(AND(_xlfn.RANK.EQ(E88,$E88:$AI88,0)=INT($AO89)+1,MOD($AO89,1)=0.5),"H","A"))))</f>
        <v>P</v>
      </c>
      <c r="F89" s="9" t="str">
        <f t="shared" ref="F89" ca="1" si="397">IF(OR(F$5="",F$5=0),"",IF(F$6=$D89,"W",IF(_xlfn.RANK.EQ(F88,$E88:$AI88,0)&lt;=INT($AO89),"P",IF(AND(_xlfn.RANK.EQ(F88,$E88:$AI88,0)=INT($AO89)+1,MOD($AO89,1)=0.5),"H","A"))))</f>
        <v>P</v>
      </c>
      <c r="G89" s="9" t="str">
        <f t="shared" ref="G89" ca="1" si="398">IF(OR(G$5="",G$5=0),"",IF(G$6=$D89,"W",IF(_xlfn.RANK.EQ(G88,$E88:$AI88,0)&lt;=INT($AO89),"P",IF(AND(_xlfn.RANK.EQ(G88,$E88:$AI88,0)=INT($AO89)+1,MOD($AO89,1)=0.5),"H","A"))))</f>
        <v>P</v>
      </c>
      <c r="H89" s="9" t="str">
        <f t="shared" ref="H89" ca="1" si="399">IF(OR(H$5="",H$5=0),"",IF(H$6=$D89,"W",IF(_xlfn.RANK.EQ(H88,$E88:$AI88,0)&lt;=INT($AO89),"P",IF(AND(_xlfn.RANK.EQ(H88,$E88:$AI88,0)=INT($AO89)+1,MOD($AO89,1)=0.5),"H","A"))))</f>
        <v>P</v>
      </c>
      <c r="I89" s="9" t="str">
        <f t="shared" ref="I89" ca="1" si="400">IF(OR(I$5="",I$5=0),"",IF(I$6=$D89,"W",IF(_xlfn.RANK.EQ(I88,$E88:$AI88,0)&lt;=INT($AO89),"P",IF(AND(_xlfn.RANK.EQ(I88,$E88:$AI88,0)=INT($AO89)+1,MOD($AO89,1)=0.5),"H","A"))))</f>
        <v>P</v>
      </c>
      <c r="J89" s="9" t="str">
        <f t="shared" ref="J89" ca="1" si="401">IF(OR(J$5="",J$5=0),"",IF(J$6=$D89,"W",IF(_xlfn.RANK.EQ(J88,$E88:$AI88,0)&lt;=INT($AO89),"P",IF(AND(_xlfn.RANK.EQ(J88,$E88:$AI88,0)=INT($AO89)+1,MOD($AO89,1)=0.5),"H","A"))))</f>
        <v>P</v>
      </c>
      <c r="K89" s="9" t="str">
        <f t="shared" ref="K89" si="402">IF(OR(K$5="",K$5=0),"",IF(K$6=$D89,"W",IF(_xlfn.RANK.EQ(K88,$E88:$AI88,0)&lt;=INT($AO89),"P",IF(AND(_xlfn.RANK.EQ(K88,$E88:$AI88,0)=INT($AO89)+1,MOD($AO89,1)=0.5),"H","A"))))</f>
        <v>W</v>
      </c>
      <c r="L89" s="9" t="str">
        <f t="shared" ref="L89" ca="1" si="403">IF(OR(L$5="",L$5=0),"",IF(L$6=$D89,"W",IF(_xlfn.RANK.EQ(L88,$E88:$AI88,0)&lt;=INT($AO89),"P",IF(AND(_xlfn.RANK.EQ(L88,$E88:$AI88,0)=INT($AO89)+1,MOD($AO89,1)=0.5),"H","A"))))</f>
        <v>P</v>
      </c>
      <c r="M89" s="9" t="str">
        <f t="shared" ref="M89" ca="1" si="404">IF(OR(M$5="",M$5=0),"",IF(M$6=$D89,"W",IF(_xlfn.RANK.EQ(M88,$E88:$AI88,0)&lt;=INT($AO89),"P",IF(AND(_xlfn.RANK.EQ(M88,$E88:$AI88,0)=INT($AO89)+1,MOD($AO89,1)=0.5),"H","A"))))</f>
        <v>P</v>
      </c>
      <c r="N89" s="9" t="str">
        <f t="shared" ref="N89" ca="1" si="405">IF(OR(N$5="",N$5=0),"",IF(N$6=$D89,"W",IF(_xlfn.RANK.EQ(N88,$E88:$AI88,0)&lt;=INT($AO89),"P",IF(AND(_xlfn.RANK.EQ(N88,$E88:$AI88,0)=INT($AO89)+1,MOD($AO89,1)=0.5),"H","A"))))</f>
        <v>P</v>
      </c>
      <c r="O89" s="9" t="str">
        <f t="shared" ref="O89" ca="1" si="406">IF(OR(O$5="",O$5=0),"",IF(O$6=$D89,"W",IF(_xlfn.RANK.EQ(O88,$E88:$AI88,0)&lt;=INT($AO89),"P",IF(AND(_xlfn.RANK.EQ(O88,$E88:$AI88,0)=INT($AO89)+1,MOD($AO89,1)=0.5),"H","A"))))</f>
        <v>P</v>
      </c>
      <c r="P89" s="9" t="str">
        <f t="shared" ref="P89" ca="1" si="407">IF(OR(P$5="",P$5=0),"",IF(P$6=$D89,"W",IF(_xlfn.RANK.EQ(P88,$E88:$AI88,0)&lt;=INT($AO89),"P",IF(AND(_xlfn.RANK.EQ(P88,$E88:$AI88,0)=INT($AO89)+1,MOD($AO89,1)=0.5),"H","A"))))</f>
        <v>P</v>
      </c>
      <c r="Q89" s="9" t="str">
        <f t="shared" ref="Q89" ca="1" si="408">IF(OR(Q$5="",Q$5=0),"",IF(Q$6=$D89,"W",IF(_xlfn.RANK.EQ(Q88,$E88:$AI88,0)&lt;=INT($AO89),"P",IF(AND(_xlfn.RANK.EQ(Q88,$E88:$AI88,0)=INT($AO89)+1,MOD($AO89,1)=0.5),"H","A"))))</f>
        <v>P</v>
      </c>
      <c r="R89" s="9" t="str">
        <f t="shared" ref="R89" si="409">IF(OR(R$5="",R$5=0),"",IF(R$6=$D89,"W",IF(_xlfn.RANK.EQ(R88,$E88:$AI88,0)&lt;=INT($AO89),"P",IF(AND(_xlfn.RANK.EQ(R88,$E88:$AI88,0)=INT($AO89)+1,MOD($AO89,1)=0.5),"H","A"))))</f>
        <v>W</v>
      </c>
      <c r="S89" s="9" t="str">
        <f t="shared" ref="S89" ca="1" si="410">IF(OR(S$5="",S$5=0),"",IF(S$6=$D89,"W",IF(_xlfn.RANK.EQ(S88,$E88:$AI88,0)&lt;=INT($AO89),"P",IF(AND(_xlfn.RANK.EQ(S88,$E88:$AI88,0)=INT($AO89)+1,MOD($AO89,1)=0.5),"H","A"))))</f>
        <v>P</v>
      </c>
      <c r="T89" s="9" t="str">
        <f t="shared" ref="T89" ca="1" si="411">IF(OR(T$5="",T$5=0),"",IF(T$6=$D89,"W",IF(_xlfn.RANK.EQ(T88,$E88:$AI88,0)&lt;=INT($AO89),"P",IF(AND(_xlfn.RANK.EQ(T88,$E88:$AI88,0)=INT($AO89)+1,MOD($AO89,1)=0.5),"H","A"))))</f>
        <v>P</v>
      </c>
      <c r="U89" s="9" t="str">
        <f t="shared" ref="U89" ca="1" si="412">IF(OR(U$5="",U$5=0),"",IF(U$6=$D89,"W",IF(_xlfn.RANK.EQ(U88,$E88:$AI88,0)&lt;=INT($AO89),"P",IF(AND(_xlfn.RANK.EQ(U88,$E88:$AI88,0)=INT($AO89)+1,MOD($AO89,1)=0.5),"H","A"))))</f>
        <v>P</v>
      </c>
      <c r="V89" s="9" t="str">
        <f t="shared" ref="V89" ca="1" si="413">IF(OR(V$5="",V$5=0),"",IF(V$6=$D89,"W",IF(_xlfn.RANK.EQ(V88,$E88:$AI88,0)&lt;=INT($AO89),"P",IF(AND(_xlfn.RANK.EQ(V88,$E88:$AI88,0)=INT($AO89)+1,MOD($AO89,1)=0.5),"H","A"))))</f>
        <v>P</v>
      </c>
      <c r="W89" s="9" t="str">
        <f t="shared" ref="W89" ca="1" si="414">IF(OR(W$5="",W$5=0),"",IF(W$6=$D89,"W",IF(_xlfn.RANK.EQ(W88,$E88:$AI88,0)&lt;=INT($AO89),"P",IF(AND(_xlfn.RANK.EQ(W88,$E88:$AI88,0)=INT($AO89)+1,MOD($AO89,1)=0.5),"H","A"))))</f>
        <v>P</v>
      </c>
      <c r="X89" s="9" t="str">
        <f t="shared" ref="X89" ca="1" si="415">IF(OR(X$5="",X$5=0),"",IF(X$6=$D89,"W",IF(_xlfn.RANK.EQ(X88,$E88:$AI88,0)&lt;=INT($AO89),"P",IF(AND(_xlfn.RANK.EQ(X88,$E88:$AI88,0)=INT($AO89)+1,MOD($AO89,1)=0.5),"H","A"))))</f>
        <v>P</v>
      </c>
      <c r="Y89" s="9" t="str">
        <f t="shared" ref="Y89" si="416">IF(OR(Y$5="",Y$5=0),"",IF(Y$6=$D89,"W",IF(_xlfn.RANK.EQ(Y88,$E88:$AI88,0)&lt;=INT($AO89),"P",IF(AND(_xlfn.RANK.EQ(Y88,$E88:$AI88,0)=INT($AO89)+1,MOD($AO89,1)=0.5),"H","A"))))</f>
        <v>W</v>
      </c>
      <c r="Z89" s="9" t="str">
        <f t="shared" ref="Z89" ca="1" si="417">IF(OR(Z$5="",Z$5=0),"",IF(Z$6=$D89,"W",IF(_xlfn.RANK.EQ(Z88,$E88:$AI88,0)&lt;=INT($AO89),"P",IF(AND(_xlfn.RANK.EQ(Z88,$E88:$AI88,0)=INT($AO89)+1,MOD($AO89,1)=0.5),"H","A"))))</f>
        <v>P</v>
      </c>
      <c r="AA89" s="9" t="str">
        <f t="shared" ref="AA89" ca="1" si="418">IF(OR(AA$5="",AA$5=0),"",IF(AA$6=$D89,"W",IF(_xlfn.RANK.EQ(AA88,$E88:$AI88,0)&lt;=INT($AO89),"P",IF(AND(_xlfn.RANK.EQ(AA88,$E88:$AI88,0)=INT($AO89)+1,MOD($AO89,1)=0.5),"H","A"))))</f>
        <v>P</v>
      </c>
      <c r="AB89" s="9" t="str">
        <f t="shared" ref="AB89" ca="1" si="419">IF(OR(AB$5="",AB$5=0),"",IF(AB$6=$D89,"W",IF(_xlfn.RANK.EQ(AB88,$E88:$AI88,0)&lt;=INT($AO89),"P",IF(AND(_xlfn.RANK.EQ(AB88,$E88:$AI88,0)=INT($AO89)+1,MOD($AO89,1)=0.5),"H","A"))))</f>
        <v>P</v>
      </c>
      <c r="AC89" s="9" t="str">
        <f t="shared" ref="AC89" ca="1" si="420">IF(OR(AC$5="",AC$5=0),"",IF(AC$6=$D89,"W",IF(_xlfn.RANK.EQ(AC88,$E88:$AI88,0)&lt;=INT($AO89),"P",IF(AND(_xlfn.RANK.EQ(AC88,$E88:$AI88,0)=INT($AO89)+1,MOD($AO89,1)=0.5),"H","A"))))</f>
        <v>P</v>
      </c>
      <c r="AD89" s="9" t="str">
        <f t="shared" ref="AD89" ca="1" si="421">IF(OR(AD$5="",AD$5=0),"",IF(AD$6=$D89,"W",IF(_xlfn.RANK.EQ(AD88,$E88:$AI88,0)&lt;=INT($AO89),"P",IF(AND(_xlfn.RANK.EQ(AD88,$E88:$AI88,0)=INT($AO89)+1,MOD($AO89,1)=0.5),"H","A"))))</f>
        <v>A</v>
      </c>
      <c r="AE89" s="9" t="str">
        <f t="shared" ref="AE89" ca="1" si="422">IF(OR(AE$5="",AE$5=0),"",IF(AE$6=$D89,"W",IF(_xlfn.RANK.EQ(AE88,$E88:$AI88,0)&lt;=INT($AO89),"P",IF(AND(_xlfn.RANK.EQ(AE88,$E88:$AI88,0)=INT($AO89)+1,MOD($AO89,1)=0.5),"H","A"))))</f>
        <v>P</v>
      </c>
      <c r="AF89" s="9" t="str">
        <f t="shared" ref="AF89" si="423">IF(OR(AF$5="",AF$5=0),"",IF(AF$6=$D89,"W",IF(_xlfn.RANK.EQ(AF88,$E88:$AI88,0)&lt;=INT($AO89),"P",IF(AND(_xlfn.RANK.EQ(AF88,$E88:$AI88,0)=INT($AO89)+1,MOD($AO89,1)=0.5),"H","A"))))</f>
        <v>W</v>
      </c>
      <c r="AG89" s="9" t="str">
        <f t="shared" ref="AG89" ca="1" si="424">IF(OR(AG$5="",AG$5=0),"",IF(AG$6=$D89,"W",IF(_xlfn.RANK.EQ(AG88,$E88:$AI88,0)&lt;=INT($AO89),"P",IF(AND(_xlfn.RANK.EQ(AG88,$E88:$AI88,0)=INT($AO89)+1,MOD($AO89,1)=0.5),"H","A"))))</f>
        <v>P</v>
      </c>
      <c r="AH89" s="9" t="str">
        <f t="shared" ref="AH89" ca="1" si="425">IF(OR(AH$5="",AH$5=0),"",IF(AH$6=$D89,"W",IF(_xlfn.RANK.EQ(AH88,$E88:$AI88,0)&lt;=INT($AO89),"P",IF(AND(_xlfn.RANK.EQ(AH88,$E88:$AI88,0)=INT($AO89)+1,MOD($AO89,1)=0.5),"H","A"))))</f>
        <v>P</v>
      </c>
      <c r="AI89" s="9" t="str">
        <f t="shared" ref="AI89" ca="1" si="426">IF(OR(AI$5="",AI$5=0),"",IF(AI$6=$D89,"W",IF(_xlfn.RANK.EQ(AI88,$E88:$AI88,0)&lt;=INT($AO89),"P",IF(AND(_xlfn.RANK.EQ(AI88,$E88:$AI88,0)=INT($AO89)+1,MOD($AO89,1)=0.5),"H","A"))))</f>
        <v>P</v>
      </c>
      <c r="AJ89" s="16">
        <f t="shared" ref="AJ89" ca="1" si="427">COUNTIF(E89:AI89, "P")</f>
        <v>26</v>
      </c>
      <c r="AK89" s="17">
        <f t="shared" ref="AK89" ca="1" si="428">COUNTIF(E89:AH89, "A")</f>
        <v>1</v>
      </c>
      <c r="AL89" s="17">
        <f t="shared" ref="AL89" ca="1" si="429">COUNTIF(E89:AH89, "W")</f>
        <v>4</v>
      </c>
      <c r="AM89" s="17">
        <f t="shared" ref="AM89" ca="1" si="430">COUNTIF(E89:AH89, "H")</f>
        <v>0</v>
      </c>
      <c r="AN89" s="17">
        <f t="shared" ref="AN89" ca="1" si="431">COUNTIF(E89:AH89, "PL")</f>
        <v>0</v>
      </c>
      <c r="AO89" s="18">
        <v>26</v>
      </c>
    </row>
    <row r="90" spans="1:41" ht="15" x14ac:dyDescent="0.3">
      <c r="A90" s="19"/>
      <c r="B90" s="1" t="s">
        <v>22</v>
      </c>
      <c r="C90" s="48" t="s">
        <v>22</v>
      </c>
      <c r="D90" s="45" t="s">
        <v>1</v>
      </c>
      <c r="E90" s="20" t="str">
        <f t="shared" ref="E90:AI99" ca="1" si="432">IF(E89="P", IF($D88="G", TEXT(RAND()*(9.27-9.62)/24+9.62/24,"HH:MM"), IF($D88="A", TEXT(RAND()*(8.06-8.1)/24+8.15/24,"HH:MM"), IF($D88="B", TEXT(RAND()*(16.06-16.1)/24+16.15/24,"HH:MM"), IF($D88="C", TEXT(RAND()*(24.85-24.13)/24+24.13/24,"HH:MM"), " ")))), "")</f>
        <v>16:06</v>
      </c>
      <c r="F90" s="20" t="str">
        <f t="shared" ca="1" si="432"/>
        <v>16:06</v>
      </c>
      <c r="G90" s="20" t="str">
        <f t="shared" ca="1" si="432"/>
        <v>16:08</v>
      </c>
      <c r="H90" s="20" t="str">
        <f t="shared" ca="1" si="432"/>
        <v>16:07</v>
      </c>
      <c r="I90" s="20" t="str">
        <f t="shared" ca="1" si="432"/>
        <v>16:06</v>
      </c>
      <c r="J90" s="20" t="str">
        <f t="shared" ca="1" si="432"/>
        <v>16:08</v>
      </c>
      <c r="K90" s="20" t="str">
        <f t="shared" ca="1" si="432"/>
        <v/>
      </c>
      <c r="L90" s="20" t="str">
        <f t="shared" ca="1" si="432"/>
        <v>16:07</v>
      </c>
      <c r="M90" s="20" t="str">
        <f t="shared" ca="1" si="432"/>
        <v>16:08</v>
      </c>
      <c r="N90" s="20" t="str">
        <f t="shared" ca="1" si="432"/>
        <v>16:07</v>
      </c>
      <c r="O90" s="20" t="str">
        <f t="shared" ca="1" si="432"/>
        <v>16:07</v>
      </c>
      <c r="P90" s="20" t="str">
        <f t="shared" ca="1" si="432"/>
        <v>16:06</v>
      </c>
      <c r="Q90" s="20" t="str">
        <f t="shared" ca="1" si="432"/>
        <v>16:07</v>
      </c>
      <c r="R90" s="20" t="str">
        <f t="shared" ca="1" si="432"/>
        <v/>
      </c>
      <c r="S90" s="20" t="str">
        <f t="shared" ca="1" si="432"/>
        <v>16:07</v>
      </c>
      <c r="T90" s="20" t="str">
        <f t="shared" ca="1" si="432"/>
        <v>16:07</v>
      </c>
      <c r="U90" s="20" t="str">
        <f t="shared" ca="1" si="432"/>
        <v>16:08</v>
      </c>
      <c r="V90" s="20" t="str">
        <f t="shared" ca="1" si="432"/>
        <v>16:07</v>
      </c>
      <c r="W90" s="20" t="str">
        <f t="shared" ca="1" si="432"/>
        <v>16:08</v>
      </c>
      <c r="X90" s="20" t="str">
        <f t="shared" ca="1" si="432"/>
        <v>16:07</v>
      </c>
      <c r="Y90" s="20" t="str">
        <f t="shared" ca="1" si="432"/>
        <v/>
      </c>
      <c r="Z90" s="20" t="str">
        <f t="shared" ca="1" si="432"/>
        <v>16:07</v>
      </c>
      <c r="AA90" s="20" t="str">
        <f t="shared" ca="1" si="432"/>
        <v>16:08</v>
      </c>
      <c r="AB90" s="20" t="str">
        <f t="shared" ca="1" si="432"/>
        <v>16:07</v>
      </c>
      <c r="AC90" s="20" t="str">
        <f t="shared" ca="1" si="432"/>
        <v>16:08</v>
      </c>
      <c r="AD90" s="20" t="str">
        <f t="shared" ca="1" si="432"/>
        <v/>
      </c>
      <c r="AE90" s="20" t="str">
        <f t="shared" ca="1" si="432"/>
        <v>16:08</v>
      </c>
      <c r="AF90" s="20" t="str">
        <f t="shared" ca="1" si="432"/>
        <v/>
      </c>
      <c r="AG90" s="20" t="str">
        <f t="shared" ca="1" si="432"/>
        <v>16:08</v>
      </c>
      <c r="AH90" s="20" t="str">
        <f t="shared" ca="1" si="432"/>
        <v>16:08</v>
      </c>
      <c r="AI90" s="20" t="str">
        <f t="shared" ca="1" si="432"/>
        <v>16:07</v>
      </c>
      <c r="AJ90" s="21"/>
      <c r="AK90" s="22"/>
      <c r="AL90" s="22"/>
      <c r="AM90" s="22"/>
      <c r="AN90" s="22"/>
      <c r="AO90" s="23" t="s">
        <v>22</v>
      </c>
    </row>
    <row r="91" spans="1:41" ht="15" x14ac:dyDescent="0.3">
      <c r="A91" s="19"/>
      <c r="B91" s="1" t="s">
        <v>22</v>
      </c>
      <c r="C91" s="48" t="s">
        <v>22</v>
      </c>
      <c r="D91" s="45" t="s">
        <v>2</v>
      </c>
      <c r="E91" s="20" t="str">
        <f t="shared" ref="E91:AI100" ca="1" si="433">IF(E89="P", IF($D88="G", TEXT(RAND()*(18.85-18.13)/24+18.13/24,"HH:MM"), IF($D88="A", TEXT(RAND()*(16.85-16.13)/24+16.13/24,"HH:MM"), IF($D88="B", TEXT(RAND()*(24.85-24.13)/24+24.13/24,"HH:MM"), IF($D88="C", TEXT(RAND()*(8.85-8.13)/24+8.13/24,"HH:MM"), " ")))), "")</f>
        <v>00:49</v>
      </c>
      <c r="F91" s="20" t="str">
        <f t="shared" ca="1" si="433"/>
        <v>00:28</v>
      </c>
      <c r="G91" s="20" t="str">
        <f t="shared" ca="1" si="433"/>
        <v>00:18</v>
      </c>
      <c r="H91" s="20" t="str">
        <f t="shared" ca="1" si="433"/>
        <v>00:16</v>
      </c>
      <c r="I91" s="20" t="str">
        <f t="shared" ca="1" si="433"/>
        <v>00:17</v>
      </c>
      <c r="J91" s="20" t="str">
        <f t="shared" ca="1" si="433"/>
        <v>00:38</v>
      </c>
      <c r="K91" s="20" t="str">
        <f t="shared" ca="1" si="433"/>
        <v/>
      </c>
      <c r="L91" s="20" t="str">
        <f t="shared" ca="1" si="433"/>
        <v>00:37</v>
      </c>
      <c r="M91" s="20" t="str">
        <f t="shared" ca="1" si="433"/>
        <v>00:44</v>
      </c>
      <c r="N91" s="20" t="str">
        <f t="shared" ca="1" si="433"/>
        <v>00:18</v>
      </c>
      <c r="O91" s="20" t="str">
        <f t="shared" ca="1" si="433"/>
        <v>00:50</v>
      </c>
      <c r="P91" s="20" t="str">
        <f t="shared" ca="1" si="433"/>
        <v>00:21</v>
      </c>
      <c r="Q91" s="20" t="str">
        <f t="shared" ca="1" si="433"/>
        <v>00:25</v>
      </c>
      <c r="R91" s="20" t="str">
        <f t="shared" ca="1" si="433"/>
        <v/>
      </c>
      <c r="S91" s="20" t="str">
        <f t="shared" ca="1" si="433"/>
        <v>00:35</v>
      </c>
      <c r="T91" s="20" t="str">
        <f t="shared" ca="1" si="433"/>
        <v>00:14</v>
      </c>
      <c r="U91" s="20" t="str">
        <f t="shared" ca="1" si="433"/>
        <v>00:09</v>
      </c>
      <c r="V91" s="20" t="str">
        <f t="shared" ca="1" si="433"/>
        <v>00:21</v>
      </c>
      <c r="W91" s="20" t="str">
        <f t="shared" ca="1" si="433"/>
        <v>00:49</v>
      </c>
      <c r="X91" s="20" t="str">
        <f t="shared" ca="1" si="433"/>
        <v>00:10</v>
      </c>
      <c r="Y91" s="20" t="str">
        <f t="shared" ca="1" si="433"/>
        <v/>
      </c>
      <c r="Z91" s="20" t="str">
        <f t="shared" ca="1" si="433"/>
        <v>00:32</v>
      </c>
      <c r="AA91" s="20" t="str">
        <f t="shared" ca="1" si="433"/>
        <v>00:49</v>
      </c>
      <c r="AB91" s="20" t="str">
        <f t="shared" ca="1" si="433"/>
        <v>00:18</v>
      </c>
      <c r="AC91" s="20" t="str">
        <f t="shared" ca="1" si="433"/>
        <v>00:31</v>
      </c>
      <c r="AD91" s="20" t="str">
        <f t="shared" ca="1" si="433"/>
        <v/>
      </c>
      <c r="AE91" s="20" t="str">
        <f t="shared" ca="1" si="433"/>
        <v>00:50</v>
      </c>
      <c r="AF91" s="20" t="str">
        <f t="shared" ca="1" si="433"/>
        <v/>
      </c>
      <c r="AG91" s="20" t="str">
        <f t="shared" ca="1" si="433"/>
        <v>00:32</v>
      </c>
      <c r="AH91" s="20" t="str">
        <f t="shared" ca="1" si="433"/>
        <v>00:31</v>
      </c>
      <c r="AI91" s="20" t="str">
        <f t="shared" ca="1" si="433"/>
        <v>00:25</v>
      </c>
      <c r="AJ91" s="24" t="s">
        <v>13</v>
      </c>
      <c r="AK91" s="25"/>
      <c r="AL91" s="25"/>
      <c r="AM91" s="25"/>
      <c r="AN91" s="25"/>
      <c r="AO91" s="23" t="s">
        <v>22</v>
      </c>
    </row>
    <row r="92" spans="1:41" ht="15" x14ac:dyDescent="0.3">
      <c r="A92" s="26"/>
      <c r="B92" s="1" t="s">
        <v>22</v>
      </c>
      <c r="C92" s="48" t="s">
        <v>22</v>
      </c>
      <c r="D92" s="45" t="s">
        <v>14</v>
      </c>
      <c r="E92" s="27">
        <f t="shared" ref="E92:AI101" ca="1" si="434">IF(E89="P", MOD(E91-E90, 1), " ")</f>
        <v>0.36319444444444449</v>
      </c>
      <c r="F92" s="27">
        <f t="shared" ca="1" si="434"/>
        <v>0.3486111111111112</v>
      </c>
      <c r="G92" s="27">
        <f t="shared" ca="1" si="434"/>
        <v>0.34027777777777768</v>
      </c>
      <c r="H92" s="27">
        <f t="shared" ca="1" si="434"/>
        <v>0.33958333333333335</v>
      </c>
      <c r="I92" s="27">
        <f t="shared" ca="1" si="434"/>
        <v>0.34097222222222223</v>
      </c>
      <c r="J92" s="27">
        <f t="shared" ca="1" si="434"/>
        <v>0.35416666666666663</v>
      </c>
      <c r="K92" s="27" t="str">
        <f t="shared" si="434"/>
        <v xml:space="preserve"> </v>
      </c>
      <c r="L92" s="27">
        <f t="shared" ca="1" si="434"/>
        <v>0.35416666666666674</v>
      </c>
      <c r="M92" s="27">
        <f t="shared" ca="1" si="434"/>
        <v>0.35833333333333328</v>
      </c>
      <c r="N92" s="27">
        <f t="shared" ca="1" si="434"/>
        <v>0.34097222222222223</v>
      </c>
      <c r="O92" s="27">
        <f t="shared" ca="1" si="434"/>
        <v>0.36319444444444449</v>
      </c>
      <c r="P92" s="27">
        <f t="shared" ca="1" si="434"/>
        <v>0.34375</v>
      </c>
      <c r="Q92" s="27">
        <f t="shared" ca="1" si="434"/>
        <v>0.34583333333333344</v>
      </c>
      <c r="R92" s="27" t="str">
        <f t="shared" si="434"/>
        <v xml:space="preserve"> </v>
      </c>
      <c r="S92" s="27">
        <f t="shared" ca="1" si="434"/>
        <v>0.35277777777777786</v>
      </c>
      <c r="T92" s="27">
        <f t="shared" ca="1" si="434"/>
        <v>0.33819444444444446</v>
      </c>
      <c r="U92" s="27">
        <f t="shared" ca="1" si="434"/>
        <v>0.3340277777777777</v>
      </c>
      <c r="V92" s="27">
        <f t="shared" ca="1" si="434"/>
        <v>0.34305555555555556</v>
      </c>
      <c r="W92" s="27">
        <f t="shared" ca="1" si="434"/>
        <v>0.36180555555555549</v>
      </c>
      <c r="X92" s="27">
        <f t="shared" ca="1" si="434"/>
        <v>0.3354166666666667</v>
      </c>
      <c r="Y92" s="27" t="str">
        <f t="shared" si="434"/>
        <v xml:space="preserve"> </v>
      </c>
      <c r="Z92" s="27">
        <f t="shared" ca="1" si="434"/>
        <v>0.35069444444444453</v>
      </c>
      <c r="AA92" s="27">
        <f t="shared" ca="1" si="434"/>
        <v>0.36180555555555549</v>
      </c>
      <c r="AB92" s="27">
        <f t="shared" ca="1" si="434"/>
        <v>0.34097222222222223</v>
      </c>
      <c r="AC92" s="27">
        <f t="shared" ca="1" si="434"/>
        <v>0.34930555555555554</v>
      </c>
      <c r="AD92" s="27" t="str">
        <f t="shared" ca="1" si="434"/>
        <v xml:space="preserve"> </v>
      </c>
      <c r="AE92" s="27">
        <f t="shared" ca="1" si="434"/>
        <v>0.36249999999999993</v>
      </c>
      <c r="AF92" s="27" t="str">
        <f t="shared" si="434"/>
        <v xml:space="preserve"> </v>
      </c>
      <c r="AG92" s="27">
        <f t="shared" ca="1" si="434"/>
        <v>0.35</v>
      </c>
      <c r="AH92" s="27">
        <f t="shared" ca="1" si="434"/>
        <v>0.34930555555555554</v>
      </c>
      <c r="AI92" s="27">
        <f t="shared" ca="1" si="434"/>
        <v>0.34583333333333344</v>
      </c>
      <c r="AJ92" s="28">
        <f t="shared" ref="AJ92" ca="1" si="435">AJ89*8</f>
        <v>208</v>
      </c>
      <c r="AK92" s="29"/>
      <c r="AL92" s="29"/>
      <c r="AM92" s="29"/>
      <c r="AN92" s="29"/>
      <c r="AO92" s="23" t="s">
        <v>22</v>
      </c>
    </row>
    <row r="93" spans="1:41" ht="15" x14ac:dyDescent="0.3">
      <c r="A93" s="26"/>
      <c r="B93" s="1" t="s">
        <v>22</v>
      </c>
      <c r="C93" s="48" t="s">
        <v>22</v>
      </c>
      <c r="D93" s="45" t="s">
        <v>19</v>
      </c>
      <c r="E93" s="27" t="str">
        <f t="shared" ref="E93:AI102" ca="1" si="436">IF(E89="P","08:00"," ")</f>
        <v>08:00</v>
      </c>
      <c r="F93" s="27" t="str">
        <f t="shared" ca="1" si="436"/>
        <v>08:00</v>
      </c>
      <c r="G93" s="27" t="str">
        <f t="shared" ca="1" si="436"/>
        <v>08:00</v>
      </c>
      <c r="H93" s="27" t="str">
        <f t="shared" ca="1" si="436"/>
        <v>08:00</v>
      </c>
      <c r="I93" s="27" t="str">
        <f t="shared" ca="1" si="436"/>
        <v>08:00</v>
      </c>
      <c r="J93" s="27" t="str">
        <f t="shared" ca="1" si="436"/>
        <v>08:00</v>
      </c>
      <c r="K93" s="27" t="str">
        <f t="shared" si="436"/>
        <v xml:space="preserve"> </v>
      </c>
      <c r="L93" s="27" t="str">
        <f t="shared" ca="1" si="436"/>
        <v>08:00</v>
      </c>
      <c r="M93" s="27" t="str">
        <f t="shared" ca="1" si="436"/>
        <v>08:00</v>
      </c>
      <c r="N93" s="27" t="str">
        <f t="shared" ca="1" si="436"/>
        <v>08:00</v>
      </c>
      <c r="O93" s="27" t="str">
        <f t="shared" ca="1" si="436"/>
        <v>08:00</v>
      </c>
      <c r="P93" s="27" t="str">
        <f t="shared" ca="1" si="436"/>
        <v>08:00</v>
      </c>
      <c r="Q93" s="27" t="str">
        <f t="shared" ca="1" si="436"/>
        <v>08:00</v>
      </c>
      <c r="R93" s="27" t="str">
        <f t="shared" si="436"/>
        <v xml:space="preserve"> </v>
      </c>
      <c r="S93" s="27" t="str">
        <f t="shared" ca="1" si="436"/>
        <v>08:00</v>
      </c>
      <c r="T93" s="27" t="str">
        <f t="shared" ca="1" si="436"/>
        <v>08:00</v>
      </c>
      <c r="U93" s="27" t="str">
        <f t="shared" ca="1" si="436"/>
        <v>08:00</v>
      </c>
      <c r="V93" s="27" t="str">
        <f t="shared" ca="1" si="436"/>
        <v>08:00</v>
      </c>
      <c r="W93" s="27" t="str">
        <f t="shared" ca="1" si="436"/>
        <v>08:00</v>
      </c>
      <c r="X93" s="27" t="str">
        <f t="shared" ca="1" si="436"/>
        <v>08:00</v>
      </c>
      <c r="Y93" s="27" t="str">
        <f t="shared" si="436"/>
        <v xml:space="preserve"> </v>
      </c>
      <c r="Z93" s="27" t="str">
        <f t="shared" ca="1" si="436"/>
        <v>08:00</v>
      </c>
      <c r="AA93" s="27" t="str">
        <f t="shared" ca="1" si="436"/>
        <v>08:00</v>
      </c>
      <c r="AB93" s="27" t="str">
        <f t="shared" ca="1" si="436"/>
        <v>08:00</v>
      </c>
      <c r="AC93" s="27" t="str">
        <f t="shared" ca="1" si="436"/>
        <v>08:00</v>
      </c>
      <c r="AD93" s="27" t="str">
        <f t="shared" ca="1" si="436"/>
        <v xml:space="preserve"> </v>
      </c>
      <c r="AE93" s="27" t="str">
        <f t="shared" ca="1" si="436"/>
        <v>08:00</v>
      </c>
      <c r="AF93" s="27" t="str">
        <f t="shared" si="436"/>
        <v xml:space="preserve"> </v>
      </c>
      <c r="AG93" s="27" t="str">
        <f t="shared" ca="1" si="436"/>
        <v>08:00</v>
      </c>
      <c r="AH93" s="27" t="str">
        <f t="shared" ca="1" si="436"/>
        <v>08:00</v>
      </c>
      <c r="AI93" s="27" t="str">
        <f t="shared" ca="1" si="436"/>
        <v>08:00</v>
      </c>
      <c r="AJ93" s="28"/>
      <c r="AK93" s="29"/>
      <c r="AL93" s="29"/>
      <c r="AM93" s="29"/>
      <c r="AN93" s="29"/>
      <c r="AO93" s="23" t="s">
        <v>22</v>
      </c>
    </row>
    <row r="94" spans="1:41" ht="15" x14ac:dyDescent="0.3">
      <c r="A94" s="26"/>
      <c r="B94" s="1" t="s">
        <v>22</v>
      </c>
      <c r="C94" s="48" t="s">
        <v>22</v>
      </c>
      <c r="D94" s="45" t="s">
        <v>12</v>
      </c>
      <c r="E94" s="27" t="str">
        <f t="shared" ref="E94:AI103" ca="1" si="437">IF(E89="P","01:00"," ")</f>
        <v>01:00</v>
      </c>
      <c r="F94" s="27" t="str">
        <f t="shared" ca="1" si="437"/>
        <v>01:00</v>
      </c>
      <c r="G94" s="27" t="str">
        <f t="shared" ca="1" si="437"/>
        <v>01:00</v>
      </c>
      <c r="H94" s="27" t="str">
        <f t="shared" ca="1" si="437"/>
        <v>01:00</v>
      </c>
      <c r="I94" s="27" t="str">
        <f t="shared" ca="1" si="437"/>
        <v>01:00</v>
      </c>
      <c r="J94" s="27" t="str">
        <f t="shared" ca="1" si="437"/>
        <v>01:00</v>
      </c>
      <c r="K94" s="27" t="str">
        <f t="shared" si="437"/>
        <v xml:space="preserve"> </v>
      </c>
      <c r="L94" s="27" t="str">
        <f t="shared" ca="1" si="437"/>
        <v>01:00</v>
      </c>
      <c r="M94" s="27" t="str">
        <f t="shared" ca="1" si="437"/>
        <v>01:00</v>
      </c>
      <c r="N94" s="27" t="str">
        <f t="shared" ca="1" si="437"/>
        <v>01:00</v>
      </c>
      <c r="O94" s="27" t="str">
        <f t="shared" ca="1" si="437"/>
        <v>01:00</v>
      </c>
      <c r="P94" s="27" t="str">
        <f t="shared" ca="1" si="437"/>
        <v>01:00</v>
      </c>
      <c r="Q94" s="27" t="str">
        <f t="shared" ca="1" si="437"/>
        <v>01:00</v>
      </c>
      <c r="R94" s="27" t="str">
        <f t="shared" si="437"/>
        <v xml:space="preserve"> </v>
      </c>
      <c r="S94" s="27" t="str">
        <f t="shared" ca="1" si="437"/>
        <v>01:00</v>
      </c>
      <c r="T94" s="27" t="str">
        <f t="shared" ca="1" si="437"/>
        <v>01:00</v>
      </c>
      <c r="U94" s="27" t="str">
        <f t="shared" ca="1" si="437"/>
        <v>01:00</v>
      </c>
      <c r="V94" s="27" t="str">
        <f t="shared" ca="1" si="437"/>
        <v>01:00</v>
      </c>
      <c r="W94" s="27" t="str">
        <f t="shared" ca="1" si="437"/>
        <v>01:00</v>
      </c>
      <c r="X94" s="27" t="str">
        <f t="shared" ca="1" si="437"/>
        <v>01:00</v>
      </c>
      <c r="Y94" s="27" t="str">
        <f t="shared" si="437"/>
        <v xml:space="preserve"> </v>
      </c>
      <c r="Z94" s="27" t="str">
        <f t="shared" ca="1" si="437"/>
        <v>01:00</v>
      </c>
      <c r="AA94" s="27" t="str">
        <f t="shared" ca="1" si="437"/>
        <v>01:00</v>
      </c>
      <c r="AB94" s="27" t="str">
        <f t="shared" ca="1" si="437"/>
        <v>01:00</v>
      </c>
      <c r="AC94" s="27" t="str">
        <f t="shared" ca="1" si="437"/>
        <v>01:00</v>
      </c>
      <c r="AD94" s="27" t="str">
        <f t="shared" ca="1" si="437"/>
        <v xml:space="preserve"> </v>
      </c>
      <c r="AE94" s="27" t="str">
        <f t="shared" ca="1" si="437"/>
        <v>01:00</v>
      </c>
      <c r="AF94" s="27" t="str">
        <f t="shared" si="437"/>
        <v xml:space="preserve"> </v>
      </c>
      <c r="AG94" s="27" t="str">
        <f t="shared" ca="1" si="437"/>
        <v>01:00</v>
      </c>
      <c r="AH94" s="27" t="str">
        <f t="shared" ca="1" si="437"/>
        <v>01:00</v>
      </c>
      <c r="AI94" s="27" t="str">
        <f t="shared" ca="1" si="437"/>
        <v>01:00</v>
      </c>
      <c r="AJ94" s="24" t="s">
        <v>11</v>
      </c>
      <c r="AK94" s="25"/>
      <c r="AL94" s="25"/>
      <c r="AM94" s="25"/>
      <c r="AN94" s="25"/>
      <c r="AO94" s="23" t="s">
        <v>22</v>
      </c>
    </row>
    <row r="95" spans="1:41" ht="15" x14ac:dyDescent="0.3">
      <c r="A95" s="26"/>
      <c r="B95" s="1" t="s">
        <v>22</v>
      </c>
      <c r="C95" s="48" t="s">
        <v>22</v>
      </c>
      <c r="D95" s="45" t="s">
        <v>11</v>
      </c>
      <c r="E95" s="27">
        <f t="shared" ref="E95:AI104" ca="1" si="438">IF(E89="P",E92-E94," ")</f>
        <v>0.3215277777777778</v>
      </c>
      <c r="F95" s="27">
        <f t="shared" ca="1" si="438"/>
        <v>0.30694444444444452</v>
      </c>
      <c r="G95" s="27">
        <f t="shared" ca="1" si="438"/>
        <v>0.29861111111111099</v>
      </c>
      <c r="H95" s="27">
        <f t="shared" ca="1" si="438"/>
        <v>0.29791666666666666</v>
      </c>
      <c r="I95" s="27">
        <f t="shared" ca="1" si="438"/>
        <v>0.29930555555555555</v>
      </c>
      <c r="J95" s="27">
        <f t="shared" ca="1" si="438"/>
        <v>0.31249999999999994</v>
      </c>
      <c r="K95" s="27" t="str">
        <f t="shared" si="438"/>
        <v xml:space="preserve"> </v>
      </c>
      <c r="L95" s="27">
        <f t="shared" ca="1" si="438"/>
        <v>0.31250000000000006</v>
      </c>
      <c r="M95" s="27">
        <f t="shared" ca="1" si="438"/>
        <v>0.3166666666666666</v>
      </c>
      <c r="N95" s="27">
        <f t="shared" ca="1" si="438"/>
        <v>0.29930555555555555</v>
      </c>
      <c r="O95" s="27">
        <f t="shared" ca="1" si="438"/>
        <v>0.3215277777777778</v>
      </c>
      <c r="P95" s="27">
        <f t="shared" ca="1" si="438"/>
        <v>0.30208333333333331</v>
      </c>
      <c r="Q95" s="27">
        <f t="shared" ca="1" si="438"/>
        <v>0.30416666666666675</v>
      </c>
      <c r="R95" s="27" t="str">
        <f t="shared" si="438"/>
        <v xml:space="preserve"> </v>
      </c>
      <c r="S95" s="27">
        <f t="shared" ca="1" si="438"/>
        <v>0.31111111111111117</v>
      </c>
      <c r="T95" s="27">
        <f t="shared" ca="1" si="438"/>
        <v>0.29652777777777778</v>
      </c>
      <c r="U95" s="27">
        <f t="shared" ca="1" si="438"/>
        <v>0.29236111111111102</v>
      </c>
      <c r="V95" s="27">
        <f t="shared" ca="1" si="438"/>
        <v>0.30138888888888887</v>
      </c>
      <c r="W95" s="27">
        <f t="shared" ca="1" si="438"/>
        <v>0.32013888888888881</v>
      </c>
      <c r="X95" s="27">
        <f t="shared" ca="1" si="438"/>
        <v>0.29375000000000001</v>
      </c>
      <c r="Y95" s="27" t="str">
        <f t="shared" si="438"/>
        <v xml:space="preserve"> </v>
      </c>
      <c r="Z95" s="27">
        <f t="shared" ca="1" si="438"/>
        <v>0.30902777777777785</v>
      </c>
      <c r="AA95" s="27">
        <f t="shared" ca="1" si="438"/>
        <v>0.32013888888888881</v>
      </c>
      <c r="AB95" s="27">
        <f t="shared" ca="1" si="438"/>
        <v>0.29930555555555555</v>
      </c>
      <c r="AC95" s="27">
        <f t="shared" ca="1" si="438"/>
        <v>0.30763888888888885</v>
      </c>
      <c r="AD95" s="27" t="str">
        <f t="shared" ca="1" si="438"/>
        <v xml:space="preserve"> </v>
      </c>
      <c r="AE95" s="27">
        <f t="shared" ca="1" si="438"/>
        <v>0.32083333333333325</v>
      </c>
      <c r="AF95" s="27" t="str">
        <f t="shared" si="438"/>
        <v xml:space="preserve"> </v>
      </c>
      <c r="AG95" s="27">
        <f t="shared" ca="1" si="438"/>
        <v>0.30833333333333329</v>
      </c>
      <c r="AH95" s="27">
        <f t="shared" ca="1" si="438"/>
        <v>0.30763888888888885</v>
      </c>
      <c r="AI95" s="27">
        <f t="shared" ca="1" si="438"/>
        <v>0.30416666666666675</v>
      </c>
      <c r="AJ95" s="30">
        <f t="shared" ref="AJ95:AJ96" ca="1" si="439">SUM(E95:AH95)</f>
        <v>7.6812499999999986</v>
      </c>
      <c r="AK95" s="25"/>
      <c r="AL95" s="25"/>
      <c r="AM95" s="25"/>
      <c r="AN95" s="25"/>
      <c r="AO95" s="23" t="s">
        <v>22</v>
      </c>
    </row>
    <row r="96" spans="1:41" ht="15.6" thickBot="1" x14ac:dyDescent="0.35">
      <c r="A96" s="31"/>
      <c r="B96" s="32" t="s">
        <v>22</v>
      </c>
      <c r="C96" s="49" t="s">
        <v>22</v>
      </c>
      <c r="D96" s="46" t="s">
        <v>20</v>
      </c>
      <c r="E96" s="33">
        <f t="shared" ref="E96:AI105" ca="1" si="440">IF(E89="P",(IF(E93&gt;E95,0,E95-E93))," ")</f>
        <v>0</v>
      </c>
      <c r="F96" s="33">
        <f t="shared" ca="1" si="440"/>
        <v>0</v>
      </c>
      <c r="G96" s="33">
        <f t="shared" ca="1" si="440"/>
        <v>0</v>
      </c>
      <c r="H96" s="33">
        <f t="shared" ca="1" si="440"/>
        <v>0</v>
      </c>
      <c r="I96" s="33">
        <f t="shared" ca="1" si="440"/>
        <v>0</v>
      </c>
      <c r="J96" s="33">
        <f t="shared" ca="1" si="440"/>
        <v>0</v>
      </c>
      <c r="K96" s="33" t="str">
        <f t="shared" si="440"/>
        <v xml:space="preserve"> </v>
      </c>
      <c r="L96" s="33">
        <f t="shared" ca="1" si="440"/>
        <v>0</v>
      </c>
      <c r="M96" s="33">
        <f t="shared" ca="1" si="440"/>
        <v>0</v>
      </c>
      <c r="N96" s="33">
        <f t="shared" ca="1" si="440"/>
        <v>0</v>
      </c>
      <c r="O96" s="33">
        <f t="shared" ca="1" si="440"/>
        <v>0</v>
      </c>
      <c r="P96" s="33">
        <f t="shared" ca="1" si="440"/>
        <v>0</v>
      </c>
      <c r="Q96" s="33">
        <f t="shared" ca="1" si="440"/>
        <v>0</v>
      </c>
      <c r="R96" s="33" t="str">
        <f t="shared" si="440"/>
        <v xml:space="preserve"> </v>
      </c>
      <c r="S96" s="33">
        <f t="shared" ca="1" si="440"/>
        <v>0</v>
      </c>
      <c r="T96" s="33">
        <f t="shared" ca="1" si="440"/>
        <v>0</v>
      </c>
      <c r="U96" s="33">
        <f t="shared" ca="1" si="440"/>
        <v>0</v>
      </c>
      <c r="V96" s="33">
        <f t="shared" ca="1" si="440"/>
        <v>0</v>
      </c>
      <c r="W96" s="33">
        <f t="shared" ca="1" si="440"/>
        <v>0</v>
      </c>
      <c r="X96" s="33">
        <f t="shared" ca="1" si="440"/>
        <v>0</v>
      </c>
      <c r="Y96" s="33" t="str">
        <f t="shared" si="440"/>
        <v xml:space="preserve"> </v>
      </c>
      <c r="Z96" s="33">
        <f t="shared" ca="1" si="440"/>
        <v>0</v>
      </c>
      <c r="AA96" s="33">
        <f t="shared" ca="1" si="440"/>
        <v>0</v>
      </c>
      <c r="AB96" s="33">
        <f t="shared" ca="1" si="440"/>
        <v>0</v>
      </c>
      <c r="AC96" s="33">
        <f t="shared" ca="1" si="440"/>
        <v>0</v>
      </c>
      <c r="AD96" s="33" t="str">
        <f t="shared" ca="1" si="440"/>
        <v xml:space="preserve"> </v>
      </c>
      <c r="AE96" s="33">
        <f t="shared" ca="1" si="440"/>
        <v>0</v>
      </c>
      <c r="AF96" s="33" t="str">
        <f t="shared" si="440"/>
        <v xml:space="preserve"> </v>
      </c>
      <c r="AG96" s="33">
        <f t="shared" ca="1" si="440"/>
        <v>0</v>
      </c>
      <c r="AH96" s="33">
        <f t="shared" ca="1" si="440"/>
        <v>0</v>
      </c>
      <c r="AI96" s="33">
        <f t="shared" ca="1" si="440"/>
        <v>0</v>
      </c>
      <c r="AJ96" s="34">
        <f t="shared" ca="1" si="439"/>
        <v>0</v>
      </c>
      <c r="AK96" s="35"/>
      <c r="AL96" s="35"/>
      <c r="AM96" s="35"/>
      <c r="AN96" s="35"/>
      <c r="AO96" s="36" t="s">
        <v>22</v>
      </c>
    </row>
    <row r="97" spans="1:41" ht="15.6" thickBot="1" x14ac:dyDescent="0.35">
      <c r="A97" s="14"/>
      <c r="B97" s="15" t="s">
        <v>22</v>
      </c>
      <c r="C97" s="47" t="s">
        <v>22</v>
      </c>
      <c r="D97" s="37" t="s">
        <v>3</v>
      </c>
      <c r="E97" s="9">
        <f t="shared" ref="E97:T97" ca="1" si="441">IF(OR(E$5="",E$5=0),-2,IF(E$6=$D98,-1,RAND()))</f>
        <v>0.10891925324680718</v>
      </c>
      <c r="F97" s="9">
        <f t="shared" ca="1" si="441"/>
        <v>0.75085400208699449</v>
      </c>
      <c r="G97" s="9">
        <f t="shared" ca="1" si="441"/>
        <v>0.16233470812657036</v>
      </c>
      <c r="H97" s="9">
        <f t="shared" ca="1" si="441"/>
        <v>0.87009363644175286</v>
      </c>
      <c r="I97" s="9">
        <f t="shared" ca="1" si="441"/>
        <v>0.18864297190269119</v>
      </c>
      <c r="J97" s="9">
        <f t="shared" ca="1" si="441"/>
        <v>0.28628871909802278</v>
      </c>
      <c r="K97" s="9">
        <f t="shared" ca="1" si="441"/>
        <v>-1</v>
      </c>
      <c r="L97" s="9">
        <f t="shared" ca="1" si="441"/>
        <v>0.89391868340402902</v>
      </c>
      <c r="M97" s="9">
        <f t="shared" ca="1" si="441"/>
        <v>0.5278335260344279</v>
      </c>
      <c r="N97" s="9">
        <f t="shared" ca="1" si="441"/>
        <v>0.60635427920947427</v>
      </c>
      <c r="O97" s="9">
        <f t="shared" ca="1" si="441"/>
        <v>0.96981755829638538</v>
      </c>
      <c r="P97" s="9">
        <f t="shared" ca="1" si="441"/>
        <v>0.17509416071435069</v>
      </c>
      <c r="Q97" s="9">
        <f t="shared" ca="1" si="441"/>
        <v>0.26352732505467602</v>
      </c>
      <c r="R97" s="9">
        <f t="shared" ca="1" si="441"/>
        <v>-1</v>
      </c>
      <c r="S97" s="9">
        <f t="shared" ca="1" si="441"/>
        <v>0.95712702818741668</v>
      </c>
      <c r="T97" s="9">
        <f t="shared" ca="1" si="441"/>
        <v>0.95160213428674567</v>
      </c>
      <c r="U97" s="9">
        <f t="shared" ref="U97:AI97" ca="1" si="442">IF(OR(U$5="",U$5=0),-2,IF(U$6=$D98,-1,RAND()))</f>
        <v>0.34949991360832688</v>
      </c>
      <c r="V97" s="9">
        <f t="shared" ca="1" si="442"/>
        <v>0.17283294879175126</v>
      </c>
      <c r="W97" s="9">
        <f t="shared" ca="1" si="442"/>
        <v>0.46888177411725296</v>
      </c>
      <c r="X97" s="9">
        <f t="shared" ca="1" si="442"/>
        <v>0.15401807408641688</v>
      </c>
      <c r="Y97" s="9">
        <f t="shared" ca="1" si="442"/>
        <v>-1</v>
      </c>
      <c r="Z97" s="9">
        <f t="shared" ca="1" si="442"/>
        <v>0.48501146742569123</v>
      </c>
      <c r="AA97" s="9">
        <f t="shared" ca="1" si="442"/>
        <v>0.86804487210899584</v>
      </c>
      <c r="AB97" s="9">
        <f t="shared" ca="1" si="442"/>
        <v>0.32316501282719856</v>
      </c>
      <c r="AC97" s="9">
        <f t="shared" ca="1" si="442"/>
        <v>0.53833709488834292</v>
      </c>
      <c r="AD97" s="9">
        <f t="shared" ca="1" si="442"/>
        <v>0.35569064226034219</v>
      </c>
      <c r="AE97" s="9">
        <f t="shared" ca="1" si="442"/>
        <v>0.99596686822309477</v>
      </c>
      <c r="AF97" s="9">
        <f t="shared" ca="1" si="442"/>
        <v>-1</v>
      </c>
      <c r="AG97" s="9">
        <f t="shared" ca="1" si="442"/>
        <v>6.1525042611286551E-2</v>
      </c>
      <c r="AH97" s="9">
        <f t="shared" ca="1" si="442"/>
        <v>0.85067855412598792</v>
      </c>
      <c r="AI97" s="9">
        <f t="shared" ca="1" si="442"/>
        <v>0.91076772523257987</v>
      </c>
      <c r="AJ97" s="38"/>
      <c r="AK97" s="37"/>
      <c r="AL97" s="37"/>
      <c r="AM97" s="37"/>
      <c r="AN97" s="37"/>
      <c r="AO97" s="39" t="s">
        <v>22</v>
      </c>
    </row>
    <row r="98" spans="1:41" ht="15.6" thickBot="1" x14ac:dyDescent="0.35">
      <c r="A98" s="42"/>
      <c r="B98" s="44" t="s">
        <v>32</v>
      </c>
      <c r="C98" s="43" t="s">
        <v>54</v>
      </c>
      <c r="D98" s="37" t="s">
        <v>15</v>
      </c>
      <c r="E98" s="9" t="str">
        <f t="shared" ref="E98" ca="1" si="443">IF(OR(E$5="",E$5=0),"",IF(E$6=$D98,"W",IF(_xlfn.RANK.EQ(E97,$E97:$AI97,0)&lt;=INT($AO98),"P",IF(AND(_xlfn.RANK.EQ(E97,$E97:$AI97,0)=INT($AO98)+1,MOD($AO98,1)=0.5),"H","A"))))</f>
        <v>P</v>
      </c>
      <c r="F98" s="9" t="str">
        <f t="shared" ref="F98" ca="1" si="444">IF(OR(F$5="",F$5=0),"",IF(F$6=$D98,"W",IF(_xlfn.RANK.EQ(F97,$E97:$AI97,0)&lt;=INT($AO98),"P",IF(AND(_xlfn.RANK.EQ(F97,$E97:$AI97,0)=INT($AO98)+1,MOD($AO98,1)=0.5),"H","A"))))</f>
        <v>P</v>
      </c>
      <c r="G98" s="9" t="str">
        <f t="shared" ref="G98" ca="1" si="445">IF(OR(G$5="",G$5=0),"",IF(G$6=$D98,"W",IF(_xlfn.RANK.EQ(G97,$E97:$AI97,0)&lt;=INT($AO98),"P",IF(AND(_xlfn.RANK.EQ(G97,$E97:$AI97,0)=INT($AO98)+1,MOD($AO98,1)=0.5),"H","A"))))</f>
        <v>P</v>
      </c>
      <c r="H98" s="9" t="str">
        <f t="shared" ref="H98" ca="1" si="446">IF(OR(H$5="",H$5=0),"",IF(H$6=$D98,"W",IF(_xlfn.RANK.EQ(H97,$E97:$AI97,0)&lt;=INT($AO98),"P",IF(AND(_xlfn.RANK.EQ(H97,$E97:$AI97,0)=INT($AO98)+1,MOD($AO98,1)=0.5),"H","A"))))</f>
        <v>P</v>
      </c>
      <c r="I98" s="9" t="str">
        <f t="shared" ref="I98" ca="1" si="447">IF(OR(I$5="",I$5=0),"",IF(I$6=$D98,"W",IF(_xlfn.RANK.EQ(I97,$E97:$AI97,0)&lt;=INT($AO98),"P",IF(AND(_xlfn.RANK.EQ(I97,$E97:$AI97,0)=INT($AO98)+1,MOD($AO98,1)=0.5),"H","A"))))</f>
        <v>P</v>
      </c>
      <c r="J98" s="9" t="str">
        <f t="shared" ref="J98" ca="1" si="448">IF(OR(J$5="",J$5=0),"",IF(J$6=$D98,"W",IF(_xlfn.RANK.EQ(J97,$E97:$AI97,0)&lt;=INT($AO98),"P",IF(AND(_xlfn.RANK.EQ(J97,$E97:$AI97,0)=INT($AO98)+1,MOD($AO98,1)=0.5),"H","A"))))</f>
        <v>P</v>
      </c>
      <c r="K98" s="9" t="str">
        <f t="shared" ref="K98" si="449">IF(OR(K$5="",K$5=0),"",IF(K$6=$D98,"W",IF(_xlfn.RANK.EQ(K97,$E97:$AI97,0)&lt;=INT($AO98),"P",IF(AND(_xlfn.RANK.EQ(K97,$E97:$AI97,0)=INT($AO98)+1,MOD($AO98,1)=0.5),"H","A"))))</f>
        <v>W</v>
      </c>
      <c r="L98" s="9" t="str">
        <f t="shared" ref="L98" ca="1" si="450">IF(OR(L$5="",L$5=0),"",IF(L$6=$D98,"W",IF(_xlfn.RANK.EQ(L97,$E97:$AI97,0)&lt;=INT($AO98),"P",IF(AND(_xlfn.RANK.EQ(L97,$E97:$AI97,0)=INT($AO98)+1,MOD($AO98,1)=0.5),"H","A"))))</f>
        <v>P</v>
      </c>
      <c r="M98" s="9" t="str">
        <f t="shared" ref="M98" ca="1" si="451">IF(OR(M$5="",M$5=0),"",IF(M$6=$D98,"W",IF(_xlfn.RANK.EQ(M97,$E97:$AI97,0)&lt;=INT($AO98),"P",IF(AND(_xlfn.RANK.EQ(M97,$E97:$AI97,0)=INT($AO98)+1,MOD($AO98,1)=0.5),"H","A"))))</f>
        <v>P</v>
      </c>
      <c r="N98" s="9" t="str">
        <f t="shared" ref="N98" ca="1" si="452">IF(OR(N$5="",N$5=0),"",IF(N$6=$D98,"W",IF(_xlfn.RANK.EQ(N97,$E97:$AI97,0)&lt;=INT($AO98),"P",IF(AND(_xlfn.RANK.EQ(N97,$E97:$AI97,0)=INT($AO98)+1,MOD($AO98,1)=0.5),"H","A"))))</f>
        <v>P</v>
      </c>
      <c r="O98" s="9" t="str">
        <f t="shared" ref="O98" ca="1" si="453">IF(OR(O$5="",O$5=0),"",IF(O$6=$D98,"W",IF(_xlfn.RANK.EQ(O97,$E97:$AI97,0)&lt;=INT($AO98),"P",IF(AND(_xlfn.RANK.EQ(O97,$E97:$AI97,0)=INT($AO98)+1,MOD($AO98,1)=0.5),"H","A"))))</f>
        <v>P</v>
      </c>
      <c r="P98" s="9" t="str">
        <f t="shared" ref="P98" ca="1" si="454">IF(OR(P$5="",P$5=0),"",IF(P$6=$D98,"W",IF(_xlfn.RANK.EQ(P97,$E97:$AI97,0)&lt;=INT($AO98),"P",IF(AND(_xlfn.RANK.EQ(P97,$E97:$AI97,0)=INT($AO98)+1,MOD($AO98,1)=0.5),"H","A"))))</f>
        <v>P</v>
      </c>
      <c r="Q98" s="9" t="str">
        <f t="shared" ref="Q98" ca="1" si="455">IF(OR(Q$5="",Q$5=0),"",IF(Q$6=$D98,"W",IF(_xlfn.RANK.EQ(Q97,$E97:$AI97,0)&lt;=INT($AO98),"P",IF(AND(_xlfn.RANK.EQ(Q97,$E97:$AI97,0)=INT($AO98)+1,MOD($AO98,1)=0.5),"H","A"))))</f>
        <v>P</v>
      </c>
      <c r="R98" s="9" t="str">
        <f t="shared" ref="R98" si="456">IF(OR(R$5="",R$5=0),"",IF(R$6=$D98,"W",IF(_xlfn.RANK.EQ(R97,$E97:$AI97,0)&lt;=INT($AO98),"P",IF(AND(_xlfn.RANK.EQ(R97,$E97:$AI97,0)=INT($AO98)+1,MOD($AO98,1)=0.5),"H","A"))))</f>
        <v>W</v>
      </c>
      <c r="S98" s="9" t="str">
        <f t="shared" ref="S98" ca="1" si="457">IF(OR(S$5="",S$5=0),"",IF(S$6=$D98,"W",IF(_xlfn.RANK.EQ(S97,$E97:$AI97,0)&lt;=INT($AO98),"P",IF(AND(_xlfn.RANK.EQ(S97,$E97:$AI97,0)=INT($AO98)+1,MOD($AO98,1)=0.5),"H","A"))))</f>
        <v>P</v>
      </c>
      <c r="T98" s="9" t="str">
        <f t="shared" ref="T98" ca="1" si="458">IF(OR(T$5="",T$5=0),"",IF(T$6=$D98,"W",IF(_xlfn.RANK.EQ(T97,$E97:$AI97,0)&lt;=INT($AO98),"P",IF(AND(_xlfn.RANK.EQ(T97,$E97:$AI97,0)=INT($AO98)+1,MOD($AO98,1)=0.5),"H","A"))))</f>
        <v>P</v>
      </c>
      <c r="U98" s="9" t="str">
        <f t="shared" ref="U98" ca="1" si="459">IF(OR(U$5="",U$5=0),"",IF(U$6=$D98,"W",IF(_xlfn.RANK.EQ(U97,$E97:$AI97,0)&lt;=INT($AO98),"P",IF(AND(_xlfn.RANK.EQ(U97,$E97:$AI97,0)=INT($AO98)+1,MOD($AO98,1)=0.5),"H","A"))))</f>
        <v>P</v>
      </c>
      <c r="V98" s="9" t="str">
        <f t="shared" ref="V98" ca="1" si="460">IF(OR(V$5="",V$5=0),"",IF(V$6=$D98,"W",IF(_xlfn.RANK.EQ(V97,$E97:$AI97,0)&lt;=INT($AO98),"P",IF(AND(_xlfn.RANK.EQ(V97,$E97:$AI97,0)=INT($AO98)+1,MOD($AO98,1)=0.5),"H","A"))))</f>
        <v>P</v>
      </c>
      <c r="W98" s="9" t="str">
        <f t="shared" ref="W98" ca="1" si="461">IF(OR(W$5="",W$5=0),"",IF(W$6=$D98,"W",IF(_xlfn.RANK.EQ(W97,$E97:$AI97,0)&lt;=INT($AO98),"P",IF(AND(_xlfn.RANK.EQ(W97,$E97:$AI97,0)=INT($AO98)+1,MOD($AO98,1)=0.5),"H","A"))))</f>
        <v>P</v>
      </c>
      <c r="X98" s="9" t="str">
        <f t="shared" ref="X98" ca="1" si="462">IF(OR(X$5="",X$5=0),"",IF(X$6=$D98,"W",IF(_xlfn.RANK.EQ(X97,$E97:$AI97,0)&lt;=INT($AO98),"P",IF(AND(_xlfn.RANK.EQ(X97,$E97:$AI97,0)=INT($AO98)+1,MOD($AO98,1)=0.5),"H","A"))))</f>
        <v>P</v>
      </c>
      <c r="Y98" s="9" t="str">
        <f t="shared" ref="Y98" si="463">IF(OR(Y$5="",Y$5=0),"",IF(Y$6=$D98,"W",IF(_xlfn.RANK.EQ(Y97,$E97:$AI97,0)&lt;=INT($AO98),"P",IF(AND(_xlfn.RANK.EQ(Y97,$E97:$AI97,0)=INT($AO98)+1,MOD($AO98,1)=0.5),"H","A"))))</f>
        <v>W</v>
      </c>
      <c r="Z98" s="9" t="str">
        <f t="shared" ref="Z98" ca="1" si="464">IF(OR(Z$5="",Z$5=0),"",IF(Z$6=$D98,"W",IF(_xlfn.RANK.EQ(Z97,$E97:$AI97,0)&lt;=INT($AO98),"P",IF(AND(_xlfn.RANK.EQ(Z97,$E97:$AI97,0)=INT($AO98)+1,MOD($AO98,1)=0.5),"H","A"))))</f>
        <v>P</v>
      </c>
      <c r="AA98" s="9" t="str">
        <f t="shared" ref="AA98" ca="1" si="465">IF(OR(AA$5="",AA$5=0),"",IF(AA$6=$D98,"W",IF(_xlfn.RANK.EQ(AA97,$E97:$AI97,0)&lt;=INT($AO98),"P",IF(AND(_xlfn.RANK.EQ(AA97,$E97:$AI97,0)=INT($AO98)+1,MOD($AO98,1)=0.5),"H","A"))))</f>
        <v>P</v>
      </c>
      <c r="AB98" s="9" t="str">
        <f t="shared" ref="AB98" ca="1" si="466">IF(OR(AB$5="",AB$5=0),"",IF(AB$6=$D98,"W",IF(_xlfn.RANK.EQ(AB97,$E97:$AI97,0)&lt;=INT($AO98),"P",IF(AND(_xlfn.RANK.EQ(AB97,$E97:$AI97,0)=INT($AO98)+1,MOD($AO98,1)=0.5),"H","A"))))</f>
        <v>P</v>
      </c>
      <c r="AC98" s="9" t="str">
        <f t="shared" ref="AC98" ca="1" si="467">IF(OR(AC$5="",AC$5=0),"",IF(AC$6=$D98,"W",IF(_xlfn.RANK.EQ(AC97,$E97:$AI97,0)&lt;=INT($AO98),"P",IF(AND(_xlfn.RANK.EQ(AC97,$E97:$AI97,0)=INT($AO98)+1,MOD($AO98,1)=0.5),"H","A"))))</f>
        <v>P</v>
      </c>
      <c r="AD98" s="9" t="str">
        <f t="shared" ref="AD98" ca="1" si="468">IF(OR(AD$5="",AD$5=0),"",IF(AD$6=$D98,"W",IF(_xlfn.RANK.EQ(AD97,$E97:$AI97,0)&lt;=INT($AO98),"P",IF(AND(_xlfn.RANK.EQ(AD97,$E97:$AI97,0)=INT($AO98)+1,MOD($AO98,1)=0.5),"H","A"))))</f>
        <v>P</v>
      </c>
      <c r="AE98" s="9" t="str">
        <f t="shared" ref="AE98" ca="1" si="469">IF(OR(AE$5="",AE$5=0),"",IF(AE$6=$D98,"W",IF(_xlfn.RANK.EQ(AE97,$E97:$AI97,0)&lt;=INT($AO98),"P",IF(AND(_xlfn.RANK.EQ(AE97,$E97:$AI97,0)=INT($AO98)+1,MOD($AO98,1)=0.5),"H","A"))))</f>
        <v>P</v>
      </c>
      <c r="AF98" s="9" t="str">
        <f t="shared" ref="AF98" si="470">IF(OR(AF$5="",AF$5=0),"",IF(AF$6=$D98,"W",IF(_xlfn.RANK.EQ(AF97,$E97:$AI97,0)&lt;=INT($AO98),"P",IF(AND(_xlfn.RANK.EQ(AF97,$E97:$AI97,0)=INT($AO98)+1,MOD($AO98,1)=0.5),"H","A"))))</f>
        <v>W</v>
      </c>
      <c r="AG98" s="9" t="str">
        <f t="shared" ref="AG98" ca="1" si="471">IF(OR(AG$5="",AG$5=0),"",IF(AG$6=$D98,"W",IF(_xlfn.RANK.EQ(AG97,$E97:$AI97,0)&lt;=INT($AO98),"P",IF(AND(_xlfn.RANK.EQ(AG97,$E97:$AI97,0)=INT($AO98)+1,MOD($AO98,1)=0.5),"H","A"))))</f>
        <v>A</v>
      </c>
      <c r="AH98" s="9" t="str">
        <f t="shared" ref="AH98" ca="1" si="472">IF(OR(AH$5="",AH$5=0),"",IF(AH$6=$D98,"W",IF(_xlfn.RANK.EQ(AH97,$E97:$AI97,0)&lt;=INT($AO98),"P",IF(AND(_xlfn.RANK.EQ(AH97,$E97:$AI97,0)=INT($AO98)+1,MOD($AO98,1)=0.5),"H","A"))))</f>
        <v>P</v>
      </c>
      <c r="AI98" s="9" t="str">
        <f t="shared" ref="AI98" ca="1" si="473">IF(OR(AI$5="",AI$5=0),"",IF(AI$6=$D98,"W",IF(_xlfn.RANK.EQ(AI97,$E97:$AI97,0)&lt;=INT($AO98),"P",IF(AND(_xlfn.RANK.EQ(AI97,$E97:$AI97,0)=INT($AO98)+1,MOD($AO98,1)=0.5),"H","A"))))</f>
        <v>P</v>
      </c>
      <c r="AJ98" s="16">
        <f t="shared" ref="AJ98" ca="1" si="474">COUNTIF(E98:AI98, "P")</f>
        <v>26</v>
      </c>
      <c r="AK98" s="17">
        <f t="shared" ref="AK98" ca="1" si="475">COUNTIF(E98:AH98, "A")</f>
        <v>1</v>
      </c>
      <c r="AL98" s="17">
        <f t="shared" ref="AL98" ca="1" si="476">COUNTIF(E98:AH98, "W")</f>
        <v>4</v>
      </c>
      <c r="AM98" s="17">
        <f t="shared" ref="AM98" ca="1" si="477">COUNTIF(E98:AH98, "H")</f>
        <v>0</v>
      </c>
      <c r="AN98" s="17">
        <f t="shared" ref="AN98" ca="1" si="478">COUNTIF(E98:AH98, "PL")</f>
        <v>0</v>
      </c>
      <c r="AO98" s="18">
        <v>26</v>
      </c>
    </row>
    <row r="99" spans="1:41" ht="15" x14ac:dyDescent="0.3">
      <c r="A99" s="19"/>
      <c r="B99" s="1" t="s">
        <v>22</v>
      </c>
      <c r="C99" s="48" t="s">
        <v>22</v>
      </c>
      <c r="D99" s="45" t="s">
        <v>1</v>
      </c>
      <c r="E99" s="20" t="str">
        <f t="shared" ref="E99:AH99" ca="1" si="479">IF(E98="P", IF($D97="G", TEXT(RAND()*(9.27-9.62)/24+9.62/24,"HH:MM"), IF($D97="A", TEXT(RAND()*(8.06-8.1)/24+8.15/24,"HH:MM"), IF($D97="B", TEXT(RAND()*(16.06-16.1)/24+16.15/24,"HH:MM"), IF($D97="C", TEXT(RAND()*(24.85-24.13)/24+24.13/24,"HH:MM"), " ")))), "")</f>
        <v>08:08</v>
      </c>
      <c r="F99" s="20" t="str">
        <f t="shared" ca="1" si="479"/>
        <v>08:07</v>
      </c>
      <c r="G99" s="20" t="str">
        <f t="shared" ca="1" si="479"/>
        <v>08:07</v>
      </c>
      <c r="H99" s="20" t="str">
        <f t="shared" ca="1" si="479"/>
        <v>08:08</v>
      </c>
      <c r="I99" s="20" t="str">
        <f t="shared" ca="1" si="479"/>
        <v>08:07</v>
      </c>
      <c r="J99" s="20" t="str">
        <f t="shared" ca="1" si="479"/>
        <v>08:08</v>
      </c>
      <c r="K99" s="20" t="str">
        <f t="shared" ca="1" si="479"/>
        <v/>
      </c>
      <c r="L99" s="20" t="str">
        <f t="shared" ca="1" si="479"/>
        <v>08:08</v>
      </c>
      <c r="M99" s="20" t="str">
        <f t="shared" ca="1" si="479"/>
        <v>08:08</v>
      </c>
      <c r="N99" s="20" t="str">
        <f t="shared" ca="1" si="479"/>
        <v>08:06</v>
      </c>
      <c r="O99" s="20" t="str">
        <f t="shared" ca="1" si="479"/>
        <v>08:08</v>
      </c>
      <c r="P99" s="20" t="str">
        <f t="shared" ca="1" si="479"/>
        <v>08:07</v>
      </c>
      <c r="Q99" s="20" t="str">
        <f t="shared" ca="1" si="479"/>
        <v>08:07</v>
      </c>
      <c r="R99" s="20" t="str">
        <f t="shared" ca="1" si="479"/>
        <v/>
      </c>
      <c r="S99" s="20" t="str">
        <f t="shared" ca="1" si="479"/>
        <v>08:06</v>
      </c>
      <c r="T99" s="20" t="str">
        <f t="shared" ca="1" si="479"/>
        <v>08:06</v>
      </c>
      <c r="U99" s="20" t="str">
        <f t="shared" ca="1" si="479"/>
        <v>08:07</v>
      </c>
      <c r="V99" s="20" t="str">
        <f t="shared" ca="1" si="479"/>
        <v>08:06</v>
      </c>
      <c r="W99" s="20" t="str">
        <f t="shared" ca="1" si="479"/>
        <v>08:08</v>
      </c>
      <c r="X99" s="20" t="str">
        <f t="shared" ca="1" si="479"/>
        <v>08:08</v>
      </c>
      <c r="Y99" s="20" t="str">
        <f t="shared" ca="1" si="479"/>
        <v/>
      </c>
      <c r="Z99" s="20" t="str">
        <f t="shared" ca="1" si="479"/>
        <v>08:08</v>
      </c>
      <c r="AA99" s="20" t="str">
        <f t="shared" ca="1" si="479"/>
        <v>08:06</v>
      </c>
      <c r="AB99" s="20" t="str">
        <f t="shared" ca="1" si="479"/>
        <v>08:08</v>
      </c>
      <c r="AC99" s="20" t="str">
        <f t="shared" ca="1" si="479"/>
        <v>08:06</v>
      </c>
      <c r="AD99" s="20" t="str">
        <f t="shared" ca="1" si="479"/>
        <v>08:07</v>
      </c>
      <c r="AE99" s="20" t="str">
        <f t="shared" ca="1" si="479"/>
        <v>08:08</v>
      </c>
      <c r="AF99" s="20" t="str">
        <f t="shared" ca="1" si="479"/>
        <v/>
      </c>
      <c r="AG99" s="20" t="str">
        <f t="shared" ca="1" si="479"/>
        <v/>
      </c>
      <c r="AH99" s="20" t="str">
        <f t="shared" ca="1" si="479"/>
        <v>08:08</v>
      </c>
      <c r="AI99" s="20" t="str">
        <f t="shared" ca="1" si="432"/>
        <v>08:07</v>
      </c>
      <c r="AJ99" s="21"/>
      <c r="AK99" s="22"/>
      <c r="AL99" s="22"/>
      <c r="AM99" s="22"/>
      <c r="AN99" s="22"/>
      <c r="AO99" s="23" t="s">
        <v>22</v>
      </c>
    </row>
    <row r="100" spans="1:41" ht="15" x14ac:dyDescent="0.3">
      <c r="A100" s="19"/>
      <c r="B100" s="1" t="s">
        <v>22</v>
      </c>
      <c r="C100" s="48" t="s">
        <v>22</v>
      </c>
      <c r="D100" s="45" t="s">
        <v>2</v>
      </c>
      <c r="E100" s="20" t="str">
        <f t="shared" ref="E100:AH100" ca="1" si="480">IF(E98="P", IF($D97="G", TEXT(RAND()*(18.85-18.13)/24+18.13/24,"HH:MM"), IF($D97="A", TEXT(RAND()*(16.85-16.13)/24+16.13/24,"HH:MM"), IF($D97="B", TEXT(RAND()*(24.85-24.13)/24+24.13/24,"HH:MM"), IF($D97="C", TEXT(RAND()*(8.85-8.13)/24+8.13/24,"HH:MM"), " ")))), "")</f>
        <v>16:22</v>
      </c>
      <c r="F100" s="20" t="str">
        <f t="shared" ca="1" si="480"/>
        <v>16:17</v>
      </c>
      <c r="G100" s="20" t="str">
        <f t="shared" ca="1" si="480"/>
        <v>16:45</v>
      </c>
      <c r="H100" s="20" t="str">
        <f t="shared" ca="1" si="480"/>
        <v>16:08</v>
      </c>
      <c r="I100" s="20" t="str">
        <f t="shared" ca="1" si="480"/>
        <v>16:33</v>
      </c>
      <c r="J100" s="20" t="str">
        <f t="shared" ca="1" si="480"/>
        <v>16:38</v>
      </c>
      <c r="K100" s="20" t="str">
        <f t="shared" ca="1" si="480"/>
        <v/>
      </c>
      <c r="L100" s="20" t="str">
        <f t="shared" ca="1" si="480"/>
        <v>16:30</v>
      </c>
      <c r="M100" s="20" t="str">
        <f t="shared" ca="1" si="480"/>
        <v>16:26</v>
      </c>
      <c r="N100" s="20" t="str">
        <f t="shared" ca="1" si="480"/>
        <v>16:15</v>
      </c>
      <c r="O100" s="20" t="str">
        <f t="shared" ca="1" si="480"/>
        <v>16:50</v>
      </c>
      <c r="P100" s="20" t="str">
        <f t="shared" ca="1" si="480"/>
        <v>16:21</v>
      </c>
      <c r="Q100" s="20" t="str">
        <f t="shared" ca="1" si="480"/>
        <v>16:13</v>
      </c>
      <c r="R100" s="20" t="str">
        <f t="shared" ca="1" si="480"/>
        <v/>
      </c>
      <c r="S100" s="20" t="str">
        <f t="shared" ca="1" si="480"/>
        <v>16:23</v>
      </c>
      <c r="T100" s="20" t="str">
        <f t="shared" ca="1" si="480"/>
        <v>16:34</v>
      </c>
      <c r="U100" s="20" t="str">
        <f t="shared" ca="1" si="480"/>
        <v>16:28</v>
      </c>
      <c r="V100" s="20" t="str">
        <f t="shared" ca="1" si="480"/>
        <v>16:22</v>
      </c>
      <c r="W100" s="20" t="str">
        <f t="shared" ca="1" si="480"/>
        <v>16:23</v>
      </c>
      <c r="X100" s="20" t="str">
        <f t="shared" ca="1" si="480"/>
        <v>16:46</v>
      </c>
      <c r="Y100" s="20" t="str">
        <f t="shared" ca="1" si="480"/>
        <v/>
      </c>
      <c r="Z100" s="20" t="str">
        <f t="shared" ca="1" si="480"/>
        <v>16:19</v>
      </c>
      <c r="AA100" s="20" t="str">
        <f t="shared" ca="1" si="480"/>
        <v>16:25</v>
      </c>
      <c r="AB100" s="20" t="str">
        <f t="shared" ca="1" si="480"/>
        <v>16:30</v>
      </c>
      <c r="AC100" s="20" t="str">
        <f t="shared" ca="1" si="480"/>
        <v>16:37</v>
      </c>
      <c r="AD100" s="20" t="str">
        <f t="shared" ca="1" si="480"/>
        <v>16:39</v>
      </c>
      <c r="AE100" s="20" t="str">
        <f t="shared" ca="1" si="480"/>
        <v>16:36</v>
      </c>
      <c r="AF100" s="20" t="str">
        <f t="shared" ca="1" si="480"/>
        <v/>
      </c>
      <c r="AG100" s="20" t="str">
        <f t="shared" ca="1" si="480"/>
        <v/>
      </c>
      <c r="AH100" s="20" t="str">
        <f t="shared" ca="1" si="480"/>
        <v>16:26</v>
      </c>
      <c r="AI100" s="20" t="str">
        <f t="shared" ca="1" si="433"/>
        <v>16:33</v>
      </c>
      <c r="AJ100" s="24" t="s">
        <v>13</v>
      </c>
      <c r="AK100" s="25"/>
      <c r="AL100" s="25"/>
      <c r="AM100" s="25"/>
      <c r="AN100" s="25"/>
      <c r="AO100" s="23" t="s">
        <v>22</v>
      </c>
    </row>
    <row r="101" spans="1:41" ht="15" x14ac:dyDescent="0.3">
      <c r="A101" s="26"/>
      <c r="B101" s="1" t="s">
        <v>22</v>
      </c>
      <c r="C101" s="48" t="s">
        <v>22</v>
      </c>
      <c r="D101" s="45" t="s">
        <v>14</v>
      </c>
      <c r="E101" s="27">
        <f t="shared" ref="E101:AH101" ca="1" si="481">IF(E98="P", MOD(E100-E99, 1), " ")</f>
        <v>0.34305555555555556</v>
      </c>
      <c r="F101" s="27">
        <f t="shared" ca="1" si="481"/>
        <v>0.34027777777777779</v>
      </c>
      <c r="G101" s="27">
        <f t="shared" ca="1" si="481"/>
        <v>0.35972222222222217</v>
      </c>
      <c r="H101" s="27">
        <f t="shared" ca="1" si="481"/>
        <v>0.33333333333333337</v>
      </c>
      <c r="I101" s="27">
        <f t="shared" ca="1" si="481"/>
        <v>0.35138888888888886</v>
      </c>
      <c r="J101" s="27">
        <f t="shared" ca="1" si="481"/>
        <v>0.35416666666666663</v>
      </c>
      <c r="K101" s="27" t="str">
        <f t="shared" si="481"/>
        <v xml:space="preserve"> </v>
      </c>
      <c r="L101" s="27">
        <f t="shared" ca="1" si="481"/>
        <v>0.34861111111111109</v>
      </c>
      <c r="M101" s="27">
        <f t="shared" ca="1" si="481"/>
        <v>0.34583333333333333</v>
      </c>
      <c r="N101" s="27">
        <f t="shared" ca="1" si="481"/>
        <v>0.33958333333333335</v>
      </c>
      <c r="O101" s="27">
        <f t="shared" ca="1" si="481"/>
        <v>0.36249999999999993</v>
      </c>
      <c r="P101" s="27">
        <f t="shared" ca="1" si="481"/>
        <v>0.34305555555555556</v>
      </c>
      <c r="Q101" s="27">
        <f t="shared" ca="1" si="481"/>
        <v>0.33750000000000002</v>
      </c>
      <c r="R101" s="27" t="str">
        <f t="shared" si="481"/>
        <v xml:space="preserve"> </v>
      </c>
      <c r="S101" s="27">
        <f t="shared" ca="1" si="481"/>
        <v>0.34513888888888888</v>
      </c>
      <c r="T101" s="27">
        <f t="shared" ca="1" si="481"/>
        <v>0.35277777777777775</v>
      </c>
      <c r="U101" s="27">
        <f t="shared" ca="1" si="481"/>
        <v>0.34791666666666665</v>
      </c>
      <c r="V101" s="27">
        <f t="shared" ca="1" si="481"/>
        <v>0.34444444444444444</v>
      </c>
      <c r="W101" s="27">
        <f t="shared" ca="1" si="481"/>
        <v>0.34375</v>
      </c>
      <c r="X101" s="27">
        <f t="shared" ca="1" si="481"/>
        <v>0.35972222222222217</v>
      </c>
      <c r="Y101" s="27" t="str">
        <f t="shared" si="481"/>
        <v xml:space="preserve"> </v>
      </c>
      <c r="Z101" s="27">
        <f t="shared" ca="1" si="481"/>
        <v>0.34097222222222223</v>
      </c>
      <c r="AA101" s="27">
        <f t="shared" ca="1" si="481"/>
        <v>0.34652777777777777</v>
      </c>
      <c r="AB101" s="27">
        <f t="shared" ca="1" si="481"/>
        <v>0.34861111111111109</v>
      </c>
      <c r="AC101" s="27">
        <f t="shared" ca="1" si="481"/>
        <v>0.35486111111111107</v>
      </c>
      <c r="AD101" s="27">
        <f t="shared" ca="1" si="481"/>
        <v>0.35555555555555551</v>
      </c>
      <c r="AE101" s="27">
        <f t="shared" ca="1" si="481"/>
        <v>0.35277777777777775</v>
      </c>
      <c r="AF101" s="27" t="str">
        <f t="shared" si="481"/>
        <v xml:space="preserve"> </v>
      </c>
      <c r="AG101" s="27" t="str">
        <f t="shared" ca="1" si="481"/>
        <v xml:space="preserve"> </v>
      </c>
      <c r="AH101" s="27">
        <f t="shared" ca="1" si="481"/>
        <v>0.34583333333333333</v>
      </c>
      <c r="AI101" s="27">
        <f t="shared" ca="1" si="434"/>
        <v>0.35138888888888886</v>
      </c>
      <c r="AJ101" s="28">
        <f t="shared" ref="AJ101" ca="1" si="482">AJ98*8</f>
        <v>208</v>
      </c>
      <c r="AK101" s="29"/>
      <c r="AL101" s="29"/>
      <c r="AM101" s="29"/>
      <c r="AN101" s="29"/>
      <c r="AO101" s="23" t="s">
        <v>22</v>
      </c>
    </row>
    <row r="102" spans="1:41" ht="15" x14ac:dyDescent="0.3">
      <c r="A102" s="26"/>
      <c r="B102" s="1" t="s">
        <v>22</v>
      </c>
      <c r="C102" s="48" t="s">
        <v>22</v>
      </c>
      <c r="D102" s="45" t="s">
        <v>19</v>
      </c>
      <c r="E102" s="27" t="str">
        <f t="shared" ref="E102:AH102" ca="1" si="483">IF(E98="P","08:00"," ")</f>
        <v>08:00</v>
      </c>
      <c r="F102" s="27" t="str">
        <f t="shared" ca="1" si="483"/>
        <v>08:00</v>
      </c>
      <c r="G102" s="27" t="str">
        <f t="shared" ca="1" si="483"/>
        <v>08:00</v>
      </c>
      <c r="H102" s="27" t="str">
        <f t="shared" ca="1" si="483"/>
        <v>08:00</v>
      </c>
      <c r="I102" s="27" t="str">
        <f t="shared" ca="1" si="483"/>
        <v>08:00</v>
      </c>
      <c r="J102" s="27" t="str">
        <f t="shared" ca="1" si="483"/>
        <v>08:00</v>
      </c>
      <c r="K102" s="27" t="str">
        <f t="shared" si="483"/>
        <v xml:space="preserve"> </v>
      </c>
      <c r="L102" s="27" t="str">
        <f t="shared" ca="1" si="483"/>
        <v>08:00</v>
      </c>
      <c r="M102" s="27" t="str">
        <f t="shared" ca="1" si="483"/>
        <v>08:00</v>
      </c>
      <c r="N102" s="27" t="str">
        <f t="shared" ca="1" si="483"/>
        <v>08:00</v>
      </c>
      <c r="O102" s="27" t="str">
        <f t="shared" ca="1" si="483"/>
        <v>08:00</v>
      </c>
      <c r="P102" s="27" t="str">
        <f t="shared" ca="1" si="483"/>
        <v>08:00</v>
      </c>
      <c r="Q102" s="27" t="str">
        <f t="shared" ca="1" si="483"/>
        <v>08:00</v>
      </c>
      <c r="R102" s="27" t="str">
        <f t="shared" si="483"/>
        <v xml:space="preserve"> </v>
      </c>
      <c r="S102" s="27" t="str">
        <f t="shared" ca="1" si="483"/>
        <v>08:00</v>
      </c>
      <c r="T102" s="27" t="str">
        <f t="shared" ca="1" si="483"/>
        <v>08:00</v>
      </c>
      <c r="U102" s="27" t="str">
        <f t="shared" ca="1" si="483"/>
        <v>08:00</v>
      </c>
      <c r="V102" s="27" t="str">
        <f t="shared" ca="1" si="483"/>
        <v>08:00</v>
      </c>
      <c r="W102" s="27" t="str">
        <f t="shared" ca="1" si="483"/>
        <v>08:00</v>
      </c>
      <c r="X102" s="27" t="str">
        <f t="shared" ca="1" si="483"/>
        <v>08:00</v>
      </c>
      <c r="Y102" s="27" t="str">
        <f t="shared" si="483"/>
        <v xml:space="preserve"> </v>
      </c>
      <c r="Z102" s="27" t="str">
        <f t="shared" ca="1" si="483"/>
        <v>08:00</v>
      </c>
      <c r="AA102" s="27" t="str">
        <f t="shared" ca="1" si="483"/>
        <v>08:00</v>
      </c>
      <c r="AB102" s="27" t="str">
        <f t="shared" ca="1" si="483"/>
        <v>08:00</v>
      </c>
      <c r="AC102" s="27" t="str">
        <f t="shared" ca="1" si="483"/>
        <v>08:00</v>
      </c>
      <c r="AD102" s="27" t="str">
        <f t="shared" ca="1" si="483"/>
        <v>08:00</v>
      </c>
      <c r="AE102" s="27" t="str">
        <f t="shared" ca="1" si="483"/>
        <v>08:00</v>
      </c>
      <c r="AF102" s="27" t="str">
        <f t="shared" si="483"/>
        <v xml:space="preserve"> </v>
      </c>
      <c r="AG102" s="27" t="str">
        <f t="shared" ca="1" si="483"/>
        <v xml:space="preserve"> </v>
      </c>
      <c r="AH102" s="27" t="str">
        <f t="shared" ca="1" si="483"/>
        <v>08:00</v>
      </c>
      <c r="AI102" s="27" t="str">
        <f t="shared" ca="1" si="436"/>
        <v>08:00</v>
      </c>
      <c r="AJ102" s="28"/>
      <c r="AK102" s="29"/>
      <c r="AL102" s="29"/>
      <c r="AM102" s="29"/>
      <c r="AN102" s="29"/>
      <c r="AO102" s="23" t="s">
        <v>22</v>
      </c>
    </row>
    <row r="103" spans="1:41" ht="15" x14ac:dyDescent="0.3">
      <c r="A103" s="26"/>
      <c r="B103" s="1" t="s">
        <v>22</v>
      </c>
      <c r="C103" s="48" t="s">
        <v>22</v>
      </c>
      <c r="D103" s="45" t="s">
        <v>12</v>
      </c>
      <c r="E103" s="27" t="str">
        <f t="shared" ref="E103:AH103" ca="1" si="484">IF(E98="P","01:00"," ")</f>
        <v>01:00</v>
      </c>
      <c r="F103" s="27" t="str">
        <f t="shared" ca="1" si="484"/>
        <v>01:00</v>
      </c>
      <c r="G103" s="27" t="str">
        <f t="shared" ca="1" si="484"/>
        <v>01:00</v>
      </c>
      <c r="H103" s="27" t="str">
        <f t="shared" ca="1" si="484"/>
        <v>01:00</v>
      </c>
      <c r="I103" s="27" t="str">
        <f t="shared" ca="1" si="484"/>
        <v>01:00</v>
      </c>
      <c r="J103" s="27" t="str">
        <f t="shared" ca="1" si="484"/>
        <v>01:00</v>
      </c>
      <c r="K103" s="27" t="str">
        <f t="shared" si="484"/>
        <v xml:space="preserve"> </v>
      </c>
      <c r="L103" s="27" t="str">
        <f t="shared" ca="1" si="484"/>
        <v>01:00</v>
      </c>
      <c r="M103" s="27" t="str">
        <f t="shared" ca="1" si="484"/>
        <v>01:00</v>
      </c>
      <c r="N103" s="27" t="str">
        <f t="shared" ca="1" si="484"/>
        <v>01:00</v>
      </c>
      <c r="O103" s="27" t="str">
        <f t="shared" ca="1" si="484"/>
        <v>01:00</v>
      </c>
      <c r="P103" s="27" t="str">
        <f t="shared" ca="1" si="484"/>
        <v>01:00</v>
      </c>
      <c r="Q103" s="27" t="str">
        <f t="shared" ca="1" si="484"/>
        <v>01:00</v>
      </c>
      <c r="R103" s="27" t="str">
        <f t="shared" si="484"/>
        <v xml:space="preserve"> </v>
      </c>
      <c r="S103" s="27" t="str">
        <f t="shared" ca="1" si="484"/>
        <v>01:00</v>
      </c>
      <c r="T103" s="27" t="str">
        <f t="shared" ca="1" si="484"/>
        <v>01:00</v>
      </c>
      <c r="U103" s="27" t="str">
        <f t="shared" ca="1" si="484"/>
        <v>01:00</v>
      </c>
      <c r="V103" s="27" t="str">
        <f t="shared" ca="1" si="484"/>
        <v>01:00</v>
      </c>
      <c r="W103" s="27" t="str">
        <f t="shared" ca="1" si="484"/>
        <v>01:00</v>
      </c>
      <c r="X103" s="27" t="str">
        <f t="shared" ca="1" si="484"/>
        <v>01:00</v>
      </c>
      <c r="Y103" s="27" t="str">
        <f t="shared" si="484"/>
        <v xml:space="preserve"> </v>
      </c>
      <c r="Z103" s="27" t="str">
        <f t="shared" ca="1" si="484"/>
        <v>01:00</v>
      </c>
      <c r="AA103" s="27" t="str">
        <f t="shared" ca="1" si="484"/>
        <v>01:00</v>
      </c>
      <c r="AB103" s="27" t="str">
        <f t="shared" ca="1" si="484"/>
        <v>01:00</v>
      </c>
      <c r="AC103" s="27" t="str">
        <f t="shared" ca="1" si="484"/>
        <v>01:00</v>
      </c>
      <c r="AD103" s="27" t="str">
        <f t="shared" ca="1" si="484"/>
        <v>01:00</v>
      </c>
      <c r="AE103" s="27" t="str">
        <f t="shared" ca="1" si="484"/>
        <v>01:00</v>
      </c>
      <c r="AF103" s="27" t="str">
        <f t="shared" si="484"/>
        <v xml:space="preserve"> </v>
      </c>
      <c r="AG103" s="27" t="str">
        <f t="shared" ca="1" si="484"/>
        <v xml:space="preserve"> </v>
      </c>
      <c r="AH103" s="27" t="str">
        <f t="shared" ca="1" si="484"/>
        <v>01:00</v>
      </c>
      <c r="AI103" s="27" t="str">
        <f t="shared" ca="1" si="437"/>
        <v>01:00</v>
      </c>
      <c r="AJ103" s="24" t="s">
        <v>11</v>
      </c>
      <c r="AK103" s="25"/>
      <c r="AL103" s="25"/>
      <c r="AM103" s="25"/>
      <c r="AN103" s="25"/>
      <c r="AO103" s="23" t="s">
        <v>22</v>
      </c>
    </row>
    <row r="104" spans="1:41" ht="15" x14ac:dyDescent="0.3">
      <c r="A104" s="26"/>
      <c r="B104" s="1" t="s">
        <v>22</v>
      </c>
      <c r="C104" s="48" t="s">
        <v>22</v>
      </c>
      <c r="D104" s="45" t="s">
        <v>11</v>
      </c>
      <c r="E104" s="27">
        <f t="shared" ref="E104:AH104" ca="1" si="485">IF(E98="P",E101-E103," ")</f>
        <v>0.30138888888888887</v>
      </c>
      <c r="F104" s="27">
        <f t="shared" ca="1" si="485"/>
        <v>0.2986111111111111</v>
      </c>
      <c r="G104" s="27">
        <f t="shared" ca="1" si="485"/>
        <v>0.31805555555555548</v>
      </c>
      <c r="H104" s="27">
        <f t="shared" ca="1" si="485"/>
        <v>0.29166666666666669</v>
      </c>
      <c r="I104" s="27">
        <f t="shared" ca="1" si="485"/>
        <v>0.30972222222222218</v>
      </c>
      <c r="J104" s="27">
        <f t="shared" ca="1" si="485"/>
        <v>0.31249999999999994</v>
      </c>
      <c r="K104" s="27" t="str">
        <f t="shared" si="485"/>
        <v xml:space="preserve"> </v>
      </c>
      <c r="L104" s="27">
        <f t="shared" ca="1" si="485"/>
        <v>0.30694444444444441</v>
      </c>
      <c r="M104" s="27">
        <f t="shared" ca="1" si="485"/>
        <v>0.30416666666666664</v>
      </c>
      <c r="N104" s="27">
        <f t="shared" ca="1" si="485"/>
        <v>0.29791666666666666</v>
      </c>
      <c r="O104" s="27">
        <f t="shared" ca="1" si="485"/>
        <v>0.32083333333333325</v>
      </c>
      <c r="P104" s="27">
        <f t="shared" ca="1" si="485"/>
        <v>0.30138888888888887</v>
      </c>
      <c r="Q104" s="27">
        <f t="shared" ca="1" si="485"/>
        <v>0.29583333333333334</v>
      </c>
      <c r="R104" s="27" t="str">
        <f t="shared" si="485"/>
        <v xml:space="preserve"> </v>
      </c>
      <c r="S104" s="27">
        <f t="shared" ca="1" si="485"/>
        <v>0.3034722222222222</v>
      </c>
      <c r="T104" s="27">
        <f t="shared" ca="1" si="485"/>
        <v>0.31111111111111106</v>
      </c>
      <c r="U104" s="27">
        <f t="shared" ca="1" si="485"/>
        <v>0.30624999999999997</v>
      </c>
      <c r="V104" s="27">
        <f t="shared" ca="1" si="485"/>
        <v>0.30277777777777776</v>
      </c>
      <c r="W104" s="27">
        <f t="shared" ca="1" si="485"/>
        <v>0.30208333333333331</v>
      </c>
      <c r="X104" s="27">
        <f t="shared" ca="1" si="485"/>
        <v>0.31805555555555548</v>
      </c>
      <c r="Y104" s="27" t="str">
        <f t="shared" si="485"/>
        <v xml:space="preserve"> </v>
      </c>
      <c r="Z104" s="27">
        <f t="shared" ca="1" si="485"/>
        <v>0.29930555555555555</v>
      </c>
      <c r="AA104" s="27">
        <f t="shared" ca="1" si="485"/>
        <v>0.30486111111111108</v>
      </c>
      <c r="AB104" s="27">
        <f t="shared" ca="1" si="485"/>
        <v>0.30694444444444441</v>
      </c>
      <c r="AC104" s="27">
        <f t="shared" ca="1" si="485"/>
        <v>0.31319444444444439</v>
      </c>
      <c r="AD104" s="27">
        <f t="shared" ca="1" si="485"/>
        <v>0.31388888888888883</v>
      </c>
      <c r="AE104" s="27">
        <f t="shared" ca="1" si="485"/>
        <v>0.31111111111111106</v>
      </c>
      <c r="AF104" s="27" t="str">
        <f t="shared" si="485"/>
        <v xml:space="preserve"> </v>
      </c>
      <c r="AG104" s="27" t="str">
        <f t="shared" ca="1" si="485"/>
        <v xml:space="preserve"> </v>
      </c>
      <c r="AH104" s="27">
        <f t="shared" ca="1" si="485"/>
        <v>0.30416666666666664</v>
      </c>
      <c r="AI104" s="27">
        <f t="shared" ca="1" si="438"/>
        <v>0.30972222222222218</v>
      </c>
      <c r="AJ104" s="30">
        <f t="shared" ref="AJ104:AJ105" ca="1" si="486">SUM(E104:AH104)</f>
        <v>7.65625</v>
      </c>
      <c r="AK104" s="25"/>
      <c r="AL104" s="25"/>
      <c r="AM104" s="25"/>
      <c r="AN104" s="25"/>
      <c r="AO104" s="23" t="s">
        <v>22</v>
      </c>
    </row>
    <row r="105" spans="1:41" ht="15.6" thickBot="1" x14ac:dyDescent="0.35">
      <c r="A105" s="31"/>
      <c r="B105" s="32" t="s">
        <v>22</v>
      </c>
      <c r="C105" s="49" t="s">
        <v>22</v>
      </c>
      <c r="D105" s="46" t="s">
        <v>20</v>
      </c>
      <c r="E105" s="33">
        <f t="shared" ref="E105:AH105" ca="1" si="487">IF(E98="P",(IF(E102&gt;E104,0,E104-E102))," ")</f>
        <v>0</v>
      </c>
      <c r="F105" s="33">
        <f t="shared" ca="1" si="487"/>
        <v>0</v>
      </c>
      <c r="G105" s="33">
        <f t="shared" ca="1" si="487"/>
        <v>0</v>
      </c>
      <c r="H105" s="33">
        <f t="shared" ca="1" si="487"/>
        <v>0</v>
      </c>
      <c r="I105" s="33">
        <f t="shared" ca="1" si="487"/>
        <v>0</v>
      </c>
      <c r="J105" s="33">
        <f t="shared" ca="1" si="487"/>
        <v>0</v>
      </c>
      <c r="K105" s="33" t="str">
        <f t="shared" si="487"/>
        <v xml:space="preserve"> </v>
      </c>
      <c r="L105" s="33">
        <f t="shared" ca="1" si="487"/>
        <v>0</v>
      </c>
      <c r="M105" s="33">
        <f t="shared" ca="1" si="487"/>
        <v>0</v>
      </c>
      <c r="N105" s="33">
        <f t="shared" ca="1" si="487"/>
        <v>0</v>
      </c>
      <c r="O105" s="33">
        <f t="shared" ca="1" si="487"/>
        <v>0</v>
      </c>
      <c r="P105" s="33">
        <f t="shared" ca="1" si="487"/>
        <v>0</v>
      </c>
      <c r="Q105" s="33">
        <f t="shared" ca="1" si="487"/>
        <v>0</v>
      </c>
      <c r="R105" s="33" t="str">
        <f t="shared" si="487"/>
        <v xml:space="preserve"> </v>
      </c>
      <c r="S105" s="33">
        <f t="shared" ca="1" si="487"/>
        <v>0</v>
      </c>
      <c r="T105" s="33">
        <f t="shared" ca="1" si="487"/>
        <v>0</v>
      </c>
      <c r="U105" s="33">
        <f t="shared" ca="1" si="487"/>
        <v>0</v>
      </c>
      <c r="V105" s="33">
        <f t="shared" ca="1" si="487"/>
        <v>0</v>
      </c>
      <c r="W105" s="33">
        <f t="shared" ca="1" si="487"/>
        <v>0</v>
      </c>
      <c r="X105" s="33">
        <f t="shared" ca="1" si="487"/>
        <v>0</v>
      </c>
      <c r="Y105" s="33" t="str">
        <f t="shared" si="487"/>
        <v xml:space="preserve"> </v>
      </c>
      <c r="Z105" s="33">
        <f t="shared" ca="1" si="487"/>
        <v>0</v>
      </c>
      <c r="AA105" s="33">
        <f t="shared" ca="1" si="487"/>
        <v>0</v>
      </c>
      <c r="AB105" s="33">
        <f t="shared" ca="1" si="487"/>
        <v>0</v>
      </c>
      <c r="AC105" s="33">
        <f t="shared" ca="1" si="487"/>
        <v>0</v>
      </c>
      <c r="AD105" s="33">
        <f t="shared" ca="1" si="487"/>
        <v>0</v>
      </c>
      <c r="AE105" s="33">
        <f t="shared" ca="1" si="487"/>
        <v>0</v>
      </c>
      <c r="AF105" s="33" t="str">
        <f t="shared" si="487"/>
        <v xml:space="preserve"> </v>
      </c>
      <c r="AG105" s="33" t="str">
        <f t="shared" ca="1" si="487"/>
        <v xml:space="preserve"> </v>
      </c>
      <c r="AH105" s="33">
        <f t="shared" ca="1" si="487"/>
        <v>0</v>
      </c>
      <c r="AI105" s="33">
        <f t="shared" ca="1" si="440"/>
        <v>0</v>
      </c>
      <c r="AJ105" s="34">
        <f t="shared" ca="1" si="486"/>
        <v>0</v>
      </c>
      <c r="AK105" s="35"/>
      <c r="AL105" s="35"/>
      <c r="AM105" s="35"/>
      <c r="AN105" s="35"/>
      <c r="AO105" s="36" t="s">
        <v>22</v>
      </c>
    </row>
    <row r="106" spans="1:41" ht="15.6" thickBot="1" x14ac:dyDescent="0.35">
      <c r="A106" s="14"/>
      <c r="B106" s="15" t="s">
        <v>22</v>
      </c>
      <c r="C106" s="47" t="s">
        <v>22</v>
      </c>
      <c r="D106" s="37" t="s">
        <v>66</v>
      </c>
      <c r="E106" s="9">
        <f t="shared" ref="E106:T106" ca="1" si="488">IF(OR(E$5="",E$5=0),-2,IF(E$6=$D107,-1,RAND()))</f>
        <v>0.96707216037679833</v>
      </c>
      <c r="F106" s="9">
        <f t="shared" ca="1" si="488"/>
        <v>0.41964028351288429</v>
      </c>
      <c r="G106" s="9">
        <f t="shared" ca="1" si="488"/>
        <v>0.1248691901934722</v>
      </c>
      <c r="H106" s="9">
        <f t="shared" ca="1" si="488"/>
        <v>0.49011534030324</v>
      </c>
      <c r="I106" s="9">
        <f t="shared" ca="1" si="488"/>
        <v>-1</v>
      </c>
      <c r="J106" s="9">
        <f t="shared" ca="1" si="488"/>
        <v>0.34550508433468163</v>
      </c>
      <c r="K106" s="9">
        <f t="shared" ca="1" si="488"/>
        <v>0.33199558603724288</v>
      </c>
      <c r="L106" s="9">
        <f t="shared" ca="1" si="488"/>
        <v>0.73805382249042617</v>
      </c>
      <c r="M106" s="9">
        <f t="shared" ca="1" si="488"/>
        <v>0.34671601514114836</v>
      </c>
      <c r="N106" s="9">
        <f t="shared" ca="1" si="488"/>
        <v>0.8927384961852789</v>
      </c>
      <c r="O106" s="9">
        <f t="shared" ca="1" si="488"/>
        <v>0.34764572817147288</v>
      </c>
      <c r="P106" s="9">
        <f t="shared" ca="1" si="488"/>
        <v>-1</v>
      </c>
      <c r="Q106" s="9">
        <f t="shared" ca="1" si="488"/>
        <v>0.92644529217975646</v>
      </c>
      <c r="R106" s="9">
        <f t="shared" ca="1" si="488"/>
        <v>0.43571240538220846</v>
      </c>
      <c r="S106" s="9">
        <f t="shared" ca="1" si="488"/>
        <v>0.38827144428339433</v>
      </c>
      <c r="T106" s="9">
        <f t="shared" ca="1" si="488"/>
        <v>7.3885071439070638E-2</v>
      </c>
      <c r="U106" s="9">
        <f t="shared" ref="U106:AI106" ca="1" si="489">IF(OR(U$5="",U$5=0),-2,IF(U$6=$D107,-1,RAND()))</f>
        <v>0.74331567394644171</v>
      </c>
      <c r="V106" s="9">
        <f t="shared" ca="1" si="489"/>
        <v>0.39250918068760676</v>
      </c>
      <c r="W106" s="9">
        <f t="shared" ca="1" si="489"/>
        <v>-1</v>
      </c>
      <c r="X106" s="9">
        <f t="shared" ca="1" si="489"/>
        <v>0.83103697372070551</v>
      </c>
      <c r="Y106" s="9">
        <f t="shared" ca="1" si="489"/>
        <v>3.0035784891182415E-2</v>
      </c>
      <c r="Z106" s="9">
        <f t="shared" ca="1" si="489"/>
        <v>0.64618618689357388</v>
      </c>
      <c r="AA106" s="9">
        <f t="shared" ca="1" si="489"/>
        <v>0.29864015473386973</v>
      </c>
      <c r="AB106" s="9">
        <f t="shared" ca="1" si="489"/>
        <v>0.6094097780744363</v>
      </c>
      <c r="AC106" s="9">
        <f t="shared" ca="1" si="489"/>
        <v>9.0687463816277791E-2</v>
      </c>
      <c r="AD106" s="9">
        <f t="shared" ca="1" si="489"/>
        <v>-1</v>
      </c>
      <c r="AE106" s="9">
        <f t="shared" ca="1" si="489"/>
        <v>0.25070789977218844</v>
      </c>
      <c r="AF106" s="9">
        <f t="shared" ca="1" si="489"/>
        <v>0.73635522055765423</v>
      </c>
      <c r="AG106" s="9">
        <f t="shared" ca="1" si="489"/>
        <v>7.7754938568248222E-2</v>
      </c>
      <c r="AH106" s="9">
        <f t="shared" ca="1" si="489"/>
        <v>0.63162666876039697</v>
      </c>
      <c r="AI106" s="9">
        <f t="shared" ca="1" si="489"/>
        <v>0.42848430430122297</v>
      </c>
      <c r="AJ106" s="38"/>
      <c r="AK106" s="37"/>
      <c r="AL106" s="37"/>
      <c r="AM106" s="37"/>
      <c r="AN106" s="37"/>
      <c r="AO106" s="39" t="s">
        <v>22</v>
      </c>
    </row>
    <row r="107" spans="1:41" ht="15.6" thickBot="1" x14ac:dyDescent="0.35">
      <c r="A107" s="42"/>
      <c r="B107" s="44" t="s">
        <v>33</v>
      </c>
      <c r="C107" s="43" t="s">
        <v>55</v>
      </c>
      <c r="D107" s="37" t="s">
        <v>70</v>
      </c>
      <c r="E107" s="9" t="str">
        <f t="shared" ref="E107" ca="1" si="490">IF(OR(E$5="",E$5=0),"",IF(E$6=$D107,"W",IF(_xlfn.RANK.EQ(E106,$E106:$AI106,0)&lt;=INT($AO107),"P",IF(AND(_xlfn.RANK.EQ(E106,$E106:$AI106,0)=INT($AO107)+1,MOD($AO107,1)=0.5),"H","A"))))</f>
        <v>P</v>
      </c>
      <c r="F107" s="9" t="str">
        <f t="shared" ref="F107" ca="1" si="491">IF(OR(F$5="",F$5=0),"",IF(F$6=$D107,"W",IF(_xlfn.RANK.EQ(F106,$E106:$AI106,0)&lt;=INT($AO107),"P",IF(AND(_xlfn.RANK.EQ(F106,$E106:$AI106,0)=INT($AO107)+1,MOD($AO107,1)=0.5),"H","A"))))</f>
        <v>P</v>
      </c>
      <c r="G107" s="9" t="str">
        <f t="shared" ref="G107" ca="1" si="492">IF(OR(G$5="",G$5=0),"",IF(G$6=$D107,"W",IF(_xlfn.RANK.EQ(G106,$E106:$AI106,0)&lt;=INT($AO107),"P",IF(AND(_xlfn.RANK.EQ(G106,$E106:$AI106,0)=INT($AO107)+1,MOD($AO107,1)=0.5),"H","A"))))</f>
        <v>P</v>
      </c>
      <c r="H107" s="9" t="str">
        <f t="shared" ref="H107" ca="1" si="493">IF(OR(H$5="",H$5=0),"",IF(H$6=$D107,"W",IF(_xlfn.RANK.EQ(H106,$E106:$AI106,0)&lt;=INT($AO107),"P",IF(AND(_xlfn.RANK.EQ(H106,$E106:$AI106,0)=INT($AO107)+1,MOD($AO107,1)=0.5),"H","A"))))</f>
        <v>P</v>
      </c>
      <c r="I107" s="9" t="str">
        <f t="shared" ref="I107" si="494">IF(OR(I$5="",I$5=0),"",IF(I$6=$D107,"W",IF(_xlfn.RANK.EQ(I106,$E106:$AI106,0)&lt;=INT($AO107),"P",IF(AND(_xlfn.RANK.EQ(I106,$E106:$AI106,0)=INT($AO107)+1,MOD($AO107,1)=0.5),"H","A"))))</f>
        <v>W</v>
      </c>
      <c r="J107" s="9" t="str">
        <f t="shared" ref="J107" ca="1" si="495">IF(OR(J$5="",J$5=0),"",IF(J$6=$D107,"W",IF(_xlfn.RANK.EQ(J106,$E106:$AI106,0)&lt;=INT($AO107),"P",IF(AND(_xlfn.RANK.EQ(J106,$E106:$AI106,0)=INT($AO107)+1,MOD($AO107,1)=0.5),"H","A"))))</f>
        <v>P</v>
      </c>
      <c r="K107" s="9" t="str">
        <f t="shared" ref="K107" ca="1" si="496">IF(OR(K$5="",K$5=0),"",IF(K$6=$D107,"W",IF(_xlfn.RANK.EQ(K106,$E106:$AI106,0)&lt;=INT($AO107),"P",IF(AND(_xlfn.RANK.EQ(K106,$E106:$AI106,0)=INT($AO107)+1,MOD($AO107,1)=0.5),"H","A"))))</f>
        <v>P</v>
      </c>
      <c r="L107" s="9" t="str">
        <f t="shared" ref="L107" ca="1" si="497">IF(OR(L$5="",L$5=0),"",IF(L$6=$D107,"W",IF(_xlfn.RANK.EQ(L106,$E106:$AI106,0)&lt;=INT($AO107),"P",IF(AND(_xlfn.RANK.EQ(L106,$E106:$AI106,0)=INT($AO107)+1,MOD($AO107,1)=0.5),"H","A"))))</f>
        <v>P</v>
      </c>
      <c r="M107" s="9" t="str">
        <f t="shared" ref="M107" ca="1" si="498">IF(OR(M$5="",M$5=0),"",IF(M$6=$D107,"W",IF(_xlfn.RANK.EQ(M106,$E106:$AI106,0)&lt;=INT($AO107),"P",IF(AND(_xlfn.RANK.EQ(M106,$E106:$AI106,0)=INT($AO107)+1,MOD($AO107,1)=0.5),"H","A"))))</f>
        <v>P</v>
      </c>
      <c r="N107" s="9" t="str">
        <f t="shared" ref="N107" ca="1" si="499">IF(OR(N$5="",N$5=0),"",IF(N$6=$D107,"W",IF(_xlfn.RANK.EQ(N106,$E106:$AI106,0)&lt;=INT($AO107),"P",IF(AND(_xlfn.RANK.EQ(N106,$E106:$AI106,0)=INT($AO107)+1,MOD($AO107,1)=0.5),"H","A"))))</f>
        <v>P</v>
      </c>
      <c r="O107" s="9" t="str">
        <f t="shared" ref="O107" ca="1" si="500">IF(OR(O$5="",O$5=0),"",IF(O$6=$D107,"W",IF(_xlfn.RANK.EQ(O106,$E106:$AI106,0)&lt;=INT($AO107),"P",IF(AND(_xlfn.RANK.EQ(O106,$E106:$AI106,0)=INT($AO107)+1,MOD($AO107,1)=0.5),"H","A"))))</f>
        <v>P</v>
      </c>
      <c r="P107" s="9" t="str">
        <f t="shared" ref="P107" si="501">IF(OR(P$5="",P$5=0),"",IF(P$6=$D107,"W",IF(_xlfn.RANK.EQ(P106,$E106:$AI106,0)&lt;=INT($AO107),"P",IF(AND(_xlfn.RANK.EQ(P106,$E106:$AI106,0)=INT($AO107)+1,MOD($AO107,1)=0.5),"H","A"))))</f>
        <v>W</v>
      </c>
      <c r="Q107" s="9" t="str">
        <f t="shared" ref="Q107" ca="1" si="502">IF(OR(Q$5="",Q$5=0),"",IF(Q$6=$D107,"W",IF(_xlfn.RANK.EQ(Q106,$E106:$AI106,0)&lt;=INT($AO107),"P",IF(AND(_xlfn.RANK.EQ(Q106,$E106:$AI106,0)=INT($AO107)+1,MOD($AO107,1)=0.5),"H","A"))))</f>
        <v>P</v>
      </c>
      <c r="R107" s="9" t="str">
        <f t="shared" ref="R107" ca="1" si="503">IF(OR(R$5="",R$5=0),"",IF(R$6=$D107,"W",IF(_xlfn.RANK.EQ(R106,$E106:$AI106,0)&lt;=INT($AO107),"P",IF(AND(_xlfn.RANK.EQ(R106,$E106:$AI106,0)=INT($AO107)+1,MOD($AO107,1)=0.5),"H","A"))))</f>
        <v>P</v>
      </c>
      <c r="S107" s="9" t="str">
        <f t="shared" ref="S107" ca="1" si="504">IF(OR(S$5="",S$5=0),"",IF(S$6=$D107,"W",IF(_xlfn.RANK.EQ(S106,$E106:$AI106,0)&lt;=INT($AO107),"P",IF(AND(_xlfn.RANK.EQ(S106,$E106:$AI106,0)=INT($AO107)+1,MOD($AO107,1)=0.5),"H","A"))))</f>
        <v>P</v>
      </c>
      <c r="T107" s="9" t="str">
        <f t="shared" ref="T107" ca="1" si="505">IF(OR(T$5="",T$5=0),"",IF(T$6=$D107,"W",IF(_xlfn.RANK.EQ(T106,$E106:$AI106,0)&lt;=INT($AO107),"P",IF(AND(_xlfn.RANK.EQ(T106,$E106:$AI106,0)=INT($AO107)+1,MOD($AO107,1)=0.5),"H","A"))))</f>
        <v>A</v>
      </c>
      <c r="U107" s="9" t="str">
        <f t="shared" ref="U107" ca="1" si="506">IF(OR(U$5="",U$5=0),"",IF(U$6=$D107,"W",IF(_xlfn.RANK.EQ(U106,$E106:$AI106,0)&lt;=INT($AO107),"P",IF(AND(_xlfn.RANK.EQ(U106,$E106:$AI106,0)=INT($AO107)+1,MOD($AO107,1)=0.5),"H","A"))))</f>
        <v>P</v>
      </c>
      <c r="V107" s="9" t="str">
        <f t="shared" ref="V107" ca="1" si="507">IF(OR(V$5="",V$5=0),"",IF(V$6=$D107,"W",IF(_xlfn.RANK.EQ(V106,$E106:$AI106,0)&lt;=INT($AO107),"P",IF(AND(_xlfn.RANK.EQ(V106,$E106:$AI106,0)=INT($AO107)+1,MOD($AO107,1)=0.5),"H","A"))))</f>
        <v>P</v>
      </c>
      <c r="W107" s="9" t="str">
        <f t="shared" ref="W107" si="508">IF(OR(W$5="",W$5=0),"",IF(W$6=$D107,"W",IF(_xlfn.RANK.EQ(W106,$E106:$AI106,0)&lt;=INT($AO107),"P",IF(AND(_xlfn.RANK.EQ(W106,$E106:$AI106,0)=INT($AO107)+1,MOD($AO107,1)=0.5),"H","A"))))</f>
        <v>W</v>
      </c>
      <c r="X107" s="9" t="str">
        <f t="shared" ref="X107" ca="1" si="509">IF(OR(X$5="",X$5=0),"",IF(X$6=$D107,"W",IF(_xlfn.RANK.EQ(X106,$E106:$AI106,0)&lt;=INT($AO107),"P",IF(AND(_xlfn.RANK.EQ(X106,$E106:$AI106,0)=INT($AO107)+1,MOD($AO107,1)=0.5),"H","A"))))</f>
        <v>P</v>
      </c>
      <c r="Y107" s="9" t="str">
        <f t="shared" ref="Y107" ca="1" si="510">IF(OR(Y$5="",Y$5=0),"",IF(Y$6=$D107,"W",IF(_xlfn.RANK.EQ(Y106,$E106:$AI106,0)&lt;=INT($AO107),"P",IF(AND(_xlfn.RANK.EQ(Y106,$E106:$AI106,0)=INT($AO107)+1,MOD($AO107,1)=0.5),"H","A"))))</f>
        <v>A</v>
      </c>
      <c r="Z107" s="9" t="str">
        <f t="shared" ref="Z107" ca="1" si="511">IF(OR(Z$5="",Z$5=0),"",IF(Z$6=$D107,"W",IF(_xlfn.RANK.EQ(Z106,$E106:$AI106,0)&lt;=INT($AO107),"P",IF(AND(_xlfn.RANK.EQ(Z106,$E106:$AI106,0)=INT($AO107)+1,MOD($AO107,1)=0.5),"H","A"))))</f>
        <v>P</v>
      </c>
      <c r="AA107" s="9" t="str">
        <f t="shared" ref="AA107" ca="1" si="512">IF(OR(AA$5="",AA$5=0),"",IF(AA$6=$D107,"W",IF(_xlfn.RANK.EQ(AA106,$E106:$AI106,0)&lt;=INT($AO107),"P",IF(AND(_xlfn.RANK.EQ(AA106,$E106:$AI106,0)=INT($AO107)+1,MOD($AO107,1)=0.5),"H","A"))))</f>
        <v>P</v>
      </c>
      <c r="AB107" s="9" t="str">
        <f t="shared" ref="AB107" ca="1" si="513">IF(OR(AB$5="",AB$5=0),"",IF(AB$6=$D107,"W",IF(_xlfn.RANK.EQ(AB106,$E106:$AI106,0)&lt;=INT($AO107),"P",IF(AND(_xlfn.RANK.EQ(AB106,$E106:$AI106,0)=INT($AO107)+1,MOD($AO107,1)=0.5),"H","A"))))</f>
        <v>P</v>
      </c>
      <c r="AC107" s="9" t="str">
        <f t="shared" ref="AC107" ca="1" si="514">IF(OR(AC$5="",AC$5=0),"",IF(AC$6=$D107,"W",IF(_xlfn.RANK.EQ(AC106,$E106:$AI106,0)&lt;=INT($AO107),"P",IF(AND(_xlfn.RANK.EQ(AC106,$E106:$AI106,0)=INT($AO107)+1,MOD($AO107,1)=0.5),"H","A"))))</f>
        <v>P</v>
      </c>
      <c r="AD107" s="9" t="str">
        <f t="shared" ref="AD107" si="515">IF(OR(AD$5="",AD$5=0),"",IF(AD$6=$D107,"W",IF(_xlfn.RANK.EQ(AD106,$E106:$AI106,0)&lt;=INT($AO107),"P",IF(AND(_xlfn.RANK.EQ(AD106,$E106:$AI106,0)=INT($AO107)+1,MOD($AO107,1)=0.5),"H","A"))))</f>
        <v>W</v>
      </c>
      <c r="AE107" s="9" t="str">
        <f t="shared" ref="AE107" ca="1" si="516">IF(OR(AE$5="",AE$5=0),"",IF(AE$6=$D107,"W",IF(_xlfn.RANK.EQ(AE106,$E106:$AI106,0)&lt;=INT($AO107),"P",IF(AND(_xlfn.RANK.EQ(AE106,$E106:$AI106,0)=INT($AO107)+1,MOD($AO107,1)=0.5),"H","A"))))</f>
        <v>P</v>
      </c>
      <c r="AF107" s="9" t="str">
        <f t="shared" ref="AF107" ca="1" si="517">IF(OR(AF$5="",AF$5=0),"",IF(AF$6=$D107,"W",IF(_xlfn.RANK.EQ(AF106,$E106:$AI106,0)&lt;=INT($AO107),"P",IF(AND(_xlfn.RANK.EQ(AF106,$E106:$AI106,0)=INT($AO107)+1,MOD($AO107,1)=0.5),"H","A"))))</f>
        <v>P</v>
      </c>
      <c r="AG107" s="9" t="str">
        <f t="shared" ref="AG107" ca="1" si="518">IF(OR(AG$5="",AG$5=0),"",IF(AG$6=$D107,"W",IF(_xlfn.RANK.EQ(AG106,$E106:$AI106,0)&lt;=INT($AO107),"P",IF(AND(_xlfn.RANK.EQ(AG106,$E106:$AI106,0)=INT($AO107)+1,MOD($AO107,1)=0.5),"H","A"))))</f>
        <v>P</v>
      </c>
      <c r="AH107" s="9" t="str">
        <f t="shared" ref="AH107" ca="1" si="519">IF(OR(AH$5="",AH$5=0),"",IF(AH$6=$D107,"W",IF(_xlfn.RANK.EQ(AH106,$E106:$AI106,0)&lt;=INT($AO107),"P",IF(AND(_xlfn.RANK.EQ(AH106,$E106:$AI106,0)=INT($AO107)+1,MOD($AO107,1)=0.5),"H","A"))))</f>
        <v>P</v>
      </c>
      <c r="AI107" s="9" t="str">
        <f t="shared" ref="AI107" ca="1" si="520">IF(OR(AI$5="",AI$5=0),"",IF(AI$6=$D107,"W",IF(_xlfn.RANK.EQ(AI106,$E106:$AI106,0)&lt;=INT($AO107),"P",IF(AND(_xlfn.RANK.EQ(AI106,$E106:$AI106,0)=INT($AO107)+1,MOD($AO107,1)=0.5),"H","A"))))</f>
        <v>P</v>
      </c>
      <c r="AJ107" s="16">
        <f t="shared" ref="AJ107" ca="1" si="521">COUNTIF(E107:AI107, "P")</f>
        <v>25</v>
      </c>
      <c r="AK107" s="17">
        <f t="shared" ref="AK107" ca="1" si="522">COUNTIF(E107:AH107, "A")</f>
        <v>2</v>
      </c>
      <c r="AL107" s="17">
        <f t="shared" ref="AL107" ca="1" si="523">COUNTIF(E107:AH107, "W")</f>
        <v>4</v>
      </c>
      <c r="AM107" s="17">
        <f t="shared" ref="AM107" ca="1" si="524">COUNTIF(E107:AH107, "H")</f>
        <v>0</v>
      </c>
      <c r="AN107" s="17">
        <f t="shared" ref="AN107" ca="1" si="525">COUNTIF(E107:AH107, "PL")</f>
        <v>0</v>
      </c>
      <c r="AO107" s="18">
        <v>25</v>
      </c>
    </row>
    <row r="108" spans="1:41" ht="15" x14ac:dyDescent="0.3">
      <c r="A108" s="19"/>
      <c r="B108" s="1" t="s">
        <v>22</v>
      </c>
      <c r="C108" s="48" t="s">
        <v>22</v>
      </c>
      <c r="D108" s="45" t="s">
        <v>1</v>
      </c>
      <c r="E108" s="20" t="str">
        <f t="shared" ref="E108:AI117" ca="1" si="526">IF(E107="P", IF($D106="G", TEXT(RAND()*(9.27-9.62)/24+9.62/24,"HH:MM"), IF($D106="A", TEXT(RAND()*(8.06-8.1)/24+8.15/24,"HH:MM"), IF($D106="B", TEXT(RAND()*(16.06-16.1)/24+16.15/24,"HH:MM"), IF($D106="C", TEXT(RAND()*(24.85-24.13)/24+24.13/24,"HH:MM"), " ")))), "")</f>
        <v>00:36</v>
      </c>
      <c r="F108" s="20" t="str">
        <f t="shared" ca="1" si="526"/>
        <v>00:31</v>
      </c>
      <c r="G108" s="20" t="str">
        <f t="shared" ca="1" si="526"/>
        <v>00:31</v>
      </c>
      <c r="H108" s="20" t="str">
        <f t="shared" ca="1" si="526"/>
        <v>00:37</v>
      </c>
      <c r="I108" s="20" t="str">
        <f t="shared" ca="1" si="526"/>
        <v/>
      </c>
      <c r="J108" s="20" t="str">
        <f t="shared" ca="1" si="526"/>
        <v>00:23</v>
      </c>
      <c r="K108" s="20" t="str">
        <f t="shared" ca="1" si="526"/>
        <v>00:15</v>
      </c>
      <c r="L108" s="20" t="str">
        <f t="shared" ca="1" si="526"/>
        <v>00:22</v>
      </c>
      <c r="M108" s="20" t="str">
        <f t="shared" ca="1" si="526"/>
        <v>00:32</v>
      </c>
      <c r="N108" s="20" t="str">
        <f t="shared" ca="1" si="526"/>
        <v>00:11</v>
      </c>
      <c r="O108" s="20" t="str">
        <f t="shared" ca="1" si="526"/>
        <v>00:47</v>
      </c>
      <c r="P108" s="20" t="str">
        <f t="shared" ca="1" si="526"/>
        <v/>
      </c>
      <c r="Q108" s="20" t="str">
        <f t="shared" ca="1" si="526"/>
        <v>00:29</v>
      </c>
      <c r="R108" s="20" t="str">
        <f t="shared" ca="1" si="526"/>
        <v>00:32</v>
      </c>
      <c r="S108" s="20" t="str">
        <f t="shared" ca="1" si="526"/>
        <v>00:08</v>
      </c>
      <c r="T108" s="20" t="str">
        <f t="shared" ca="1" si="526"/>
        <v/>
      </c>
      <c r="U108" s="20" t="str">
        <f t="shared" ca="1" si="526"/>
        <v>00:28</v>
      </c>
      <c r="V108" s="20" t="str">
        <f t="shared" ca="1" si="526"/>
        <v>00:42</v>
      </c>
      <c r="W108" s="20" t="str">
        <f t="shared" ca="1" si="526"/>
        <v/>
      </c>
      <c r="X108" s="20" t="str">
        <f t="shared" ca="1" si="526"/>
        <v>00:42</v>
      </c>
      <c r="Y108" s="20" t="str">
        <f t="shared" ca="1" si="526"/>
        <v/>
      </c>
      <c r="Z108" s="20" t="str">
        <f t="shared" ca="1" si="526"/>
        <v>00:37</v>
      </c>
      <c r="AA108" s="20" t="str">
        <f t="shared" ca="1" si="526"/>
        <v>00:50</v>
      </c>
      <c r="AB108" s="20" t="str">
        <f t="shared" ca="1" si="526"/>
        <v>00:48</v>
      </c>
      <c r="AC108" s="20" t="str">
        <f t="shared" ca="1" si="526"/>
        <v>00:11</v>
      </c>
      <c r="AD108" s="20" t="str">
        <f t="shared" ca="1" si="526"/>
        <v/>
      </c>
      <c r="AE108" s="20" t="str">
        <f t="shared" ca="1" si="526"/>
        <v>00:48</v>
      </c>
      <c r="AF108" s="20" t="str">
        <f t="shared" ca="1" si="526"/>
        <v>00:32</v>
      </c>
      <c r="AG108" s="20" t="str">
        <f t="shared" ca="1" si="526"/>
        <v>00:44</v>
      </c>
      <c r="AH108" s="20" t="str">
        <f t="shared" ca="1" si="526"/>
        <v>00:14</v>
      </c>
      <c r="AI108" s="20" t="str">
        <f t="shared" ca="1" si="526"/>
        <v>00:10</v>
      </c>
      <c r="AJ108" s="21"/>
      <c r="AK108" s="22"/>
      <c r="AL108" s="22"/>
      <c r="AM108" s="22"/>
      <c r="AN108" s="22"/>
      <c r="AO108" s="23" t="s">
        <v>22</v>
      </c>
    </row>
    <row r="109" spans="1:41" ht="15" x14ac:dyDescent="0.3">
      <c r="A109" s="19"/>
      <c r="B109" s="1" t="s">
        <v>22</v>
      </c>
      <c r="C109" s="48" t="s">
        <v>22</v>
      </c>
      <c r="D109" s="45" t="s">
        <v>2</v>
      </c>
      <c r="E109" s="20" t="str">
        <f t="shared" ref="E109:AI118" ca="1" si="527">IF(E107="P", IF($D106="G", TEXT(RAND()*(18.85-18.13)/24+18.13/24,"HH:MM"), IF($D106="A", TEXT(RAND()*(16.85-16.13)/24+16.13/24,"HH:MM"), IF($D106="B", TEXT(RAND()*(24.85-24.13)/24+24.13/24,"HH:MM"), IF($D106="C", TEXT(RAND()*(8.85-8.13)/24+8.13/24,"HH:MM"), " ")))), "")</f>
        <v>08:11</v>
      </c>
      <c r="F109" s="20" t="str">
        <f t="shared" ca="1" si="527"/>
        <v>08:32</v>
      </c>
      <c r="G109" s="20" t="str">
        <f t="shared" ca="1" si="527"/>
        <v>08:18</v>
      </c>
      <c r="H109" s="20" t="str">
        <f t="shared" ca="1" si="527"/>
        <v>08:13</v>
      </c>
      <c r="I109" s="20" t="str">
        <f t="shared" ca="1" si="527"/>
        <v/>
      </c>
      <c r="J109" s="20" t="str">
        <f t="shared" ca="1" si="527"/>
        <v>08:21</v>
      </c>
      <c r="K109" s="20" t="str">
        <f t="shared" ca="1" si="527"/>
        <v>08:16</v>
      </c>
      <c r="L109" s="20" t="str">
        <f t="shared" ca="1" si="527"/>
        <v>08:08</v>
      </c>
      <c r="M109" s="20" t="str">
        <f t="shared" ca="1" si="527"/>
        <v>08:09</v>
      </c>
      <c r="N109" s="20" t="str">
        <f t="shared" ca="1" si="527"/>
        <v>08:43</v>
      </c>
      <c r="O109" s="20" t="str">
        <f t="shared" ca="1" si="527"/>
        <v>08:27</v>
      </c>
      <c r="P109" s="20" t="str">
        <f t="shared" ca="1" si="527"/>
        <v/>
      </c>
      <c r="Q109" s="20" t="str">
        <f t="shared" ca="1" si="527"/>
        <v>08:11</v>
      </c>
      <c r="R109" s="20" t="str">
        <f t="shared" ca="1" si="527"/>
        <v>08:39</v>
      </c>
      <c r="S109" s="20" t="str">
        <f t="shared" ca="1" si="527"/>
        <v>08:14</v>
      </c>
      <c r="T109" s="20" t="str">
        <f t="shared" ca="1" si="527"/>
        <v/>
      </c>
      <c r="U109" s="20" t="str">
        <f t="shared" ca="1" si="527"/>
        <v>08:29</v>
      </c>
      <c r="V109" s="20" t="str">
        <f t="shared" ca="1" si="527"/>
        <v>08:24</v>
      </c>
      <c r="W109" s="20" t="str">
        <f t="shared" ca="1" si="527"/>
        <v/>
      </c>
      <c r="X109" s="20" t="str">
        <f t="shared" ca="1" si="527"/>
        <v>08:39</v>
      </c>
      <c r="Y109" s="20" t="str">
        <f t="shared" ca="1" si="527"/>
        <v/>
      </c>
      <c r="Z109" s="20" t="str">
        <f t="shared" ca="1" si="527"/>
        <v>08:22</v>
      </c>
      <c r="AA109" s="20" t="str">
        <f t="shared" ca="1" si="527"/>
        <v>08:48</v>
      </c>
      <c r="AB109" s="20" t="str">
        <f t="shared" ca="1" si="527"/>
        <v>08:17</v>
      </c>
      <c r="AC109" s="20" t="str">
        <f t="shared" ca="1" si="527"/>
        <v>08:48</v>
      </c>
      <c r="AD109" s="20" t="str">
        <f t="shared" ca="1" si="527"/>
        <v/>
      </c>
      <c r="AE109" s="20" t="str">
        <f t="shared" ca="1" si="527"/>
        <v>08:29</v>
      </c>
      <c r="AF109" s="20" t="str">
        <f t="shared" ca="1" si="527"/>
        <v>08:38</v>
      </c>
      <c r="AG109" s="20" t="str">
        <f t="shared" ca="1" si="527"/>
        <v>08:39</v>
      </c>
      <c r="AH109" s="20" t="str">
        <f t="shared" ca="1" si="527"/>
        <v>08:12</v>
      </c>
      <c r="AI109" s="20" t="str">
        <f t="shared" ca="1" si="527"/>
        <v>08:46</v>
      </c>
      <c r="AJ109" s="24" t="s">
        <v>13</v>
      </c>
      <c r="AK109" s="25"/>
      <c r="AL109" s="25"/>
      <c r="AM109" s="25"/>
      <c r="AN109" s="25"/>
      <c r="AO109" s="23" t="s">
        <v>22</v>
      </c>
    </row>
    <row r="110" spans="1:41" ht="15" x14ac:dyDescent="0.3">
      <c r="A110" s="26"/>
      <c r="B110" s="1" t="s">
        <v>22</v>
      </c>
      <c r="C110" s="48" t="s">
        <v>22</v>
      </c>
      <c r="D110" s="45" t="s">
        <v>14</v>
      </c>
      <c r="E110" s="27">
        <f t="shared" ref="E110:AI119" ca="1" si="528">IF(E107="P", MOD(E109-E108, 1), " ")</f>
        <v>0.31597222222222221</v>
      </c>
      <c r="F110" s="27">
        <f t="shared" ca="1" si="528"/>
        <v>0.33402777777777781</v>
      </c>
      <c r="G110" s="27">
        <f t="shared" ca="1" si="528"/>
        <v>0.32430555555555557</v>
      </c>
      <c r="H110" s="27">
        <f t="shared" ca="1" si="528"/>
        <v>0.31666666666666665</v>
      </c>
      <c r="I110" s="27" t="str">
        <f t="shared" si="528"/>
        <v xml:space="preserve"> </v>
      </c>
      <c r="J110" s="27">
        <f t="shared" ca="1" si="528"/>
        <v>0.33194444444444443</v>
      </c>
      <c r="K110" s="27">
        <f t="shared" ca="1" si="528"/>
        <v>0.33402777777777776</v>
      </c>
      <c r="L110" s="27">
        <f t="shared" ca="1" si="528"/>
        <v>0.32361111111111113</v>
      </c>
      <c r="M110" s="27">
        <f t="shared" ca="1" si="528"/>
        <v>0.31736111111111115</v>
      </c>
      <c r="N110" s="27">
        <f t="shared" ca="1" si="528"/>
        <v>0.35555555555555557</v>
      </c>
      <c r="O110" s="27">
        <f t="shared" ca="1" si="528"/>
        <v>0.31944444444444448</v>
      </c>
      <c r="P110" s="27" t="str">
        <f t="shared" si="528"/>
        <v xml:space="preserve"> </v>
      </c>
      <c r="Q110" s="27">
        <f t="shared" ca="1" si="528"/>
        <v>0.32083333333333336</v>
      </c>
      <c r="R110" s="27">
        <f t="shared" ca="1" si="528"/>
        <v>0.33819444444444446</v>
      </c>
      <c r="S110" s="27">
        <f t="shared" ca="1" si="528"/>
        <v>0.33750000000000002</v>
      </c>
      <c r="T110" s="27" t="str">
        <f t="shared" ca="1" si="528"/>
        <v xml:space="preserve"> </v>
      </c>
      <c r="U110" s="27">
        <f t="shared" ca="1" si="528"/>
        <v>0.33402777777777781</v>
      </c>
      <c r="V110" s="27">
        <f t="shared" ca="1" si="528"/>
        <v>0.3208333333333333</v>
      </c>
      <c r="W110" s="27" t="str">
        <f t="shared" si="528"/>
        <v xml:space="preserve"> </v>
      </c>
      <c r="X110" s="27">
        <f t="shared" ca="1" si="528"/>
        <v>0.33124999999999999</v>
      </c>
      <c r="Y110" s="27" t="str">
        <f t="shared" ca="1" si="528"/>
        <v xml:space="preserve"> </v>
      </c>
      <c r="Z110" s="27">
        <f t="shared" ca="1" si="528"/>
        <v>0.32291666666666663</v>
      </c>
      <c r="AA110" s="27">
        <f t="shared" ca="1" si="528"/>
        <v>0.33194444444444443</v>
      </c>
      <c r="AB110" s="27">
        <f t="shared" ca="1" si="528"/>
        <v>0.31180555555555556</v>
      </c>
      <c r="AC110" s="27">
        <f t="shared" ca="1" si="528"/>
        <v>0.35902777777777778</v>
      </c>
      <c r="AD110" s="27" t="str">
        <f t="shared" si="528"/>
        <v xml:space="preserve"> </v>
      </c>
      <c r="AE110" s="27">
        <f t="shared" ca="1" si="528"/>
        <v>0.32013888888888892</v>
      </c>
      <c r="AF110" s="27">
        <f t="shared" ca="1" si="528"/>
        <v>0.33750000000000002</v>
      </c>
      <c r="AG110" s="27">
        <f t="shared" ca="1" si="528"/>
        <v>0.3298611111111111</v>
      </c>
      <c r="AH110" s="27">
        <f t="shared" ca="1" si="528"/>
        <v>0.33194444444444443</v>
      </c>
      <c r="AI110" s="27">
        <f t="shared" ca="1" si="528"/>
        <v>0.35833333333333334</v>
      </c>
      <c r="AJ110" s="28">
        <f t="shared" ref="AJ110" ca="1" si="529">AJ107*8</f>
        <v>200</v>
      </c>
      <c r="AK110" s="29"/>
      <c r="AL110" s="29"/>
      <c r="AM110" s="29"/>
      <c r="AN110" s="29"/>
      <c r="AO110" s="23" t="s">
        <v>22</v>
      </c>
    </row>
    <row r="111" spans="1:41" ht="15" x14ac:dyDescent="0.3">
      <c r="A111" s="26"/>
      <c r="B111" s="1" t="s">
        <v>22</v>
      </c>
      <c r="C111" s="48" t="s">
        <v>22</v>
      </c>
      <c r="D111" s="45" t="s">
        <v>19</v>
      </c>
      <c r="E111" s="27" t="str">
        <f t="shared" ref="E111:AI120" ca="1" si="530">IF(E107="P","08:00"," ")</f>
        <v>08:00</v>
      </c>
      <c r="F111" s="27" t="str">
        <f t="shared" ca="1" si="530"/>
        <v>08:00</v>
      </c>
      <c r="G111" s="27" t="str">
        <f t="shared" ca="1" si="530"/>
        <v>08:00</v>
      </c>
      <c r="H111" s="27" t="str">
        <f t="shared" ca="1" si="530"/>
        <v>08:00</v>
      </c>
      <c r="I111" s="27" t="str">
        <f t="shared" si="530"/>
        <v xml:space="preserve"> </v>
      </c>
      <c r="J111" s="27" t="str">
        <f t="shared" ca="1" si="530"/>
        <v>08:00</v>
      </c>
      <c r="K111" s="27" t="str">
        <f t="shared" ca="1" si="530"/>
        <v>08:00</v>
      </c>
      <c r="L111" s="27" t="str">
        <f t="shared" ca="1" si="530"/>
        <v>08:00</v>
      </c>
      <c r="M111" s="27" t="str">
        <f t="shared" ca="1" si="530"/>
        <v>08:00</v>
      </c>
      <c r="N111" s="27" t="str">
        <f t="shared" ca="1" si="530"/>
        <v>08:00</v>
      </c>
      <c r="O111" s="27" t="str">
        <f t="shared" ca="1" si="530"/>
        <v>08:00</v>
      </c>
      <c r="P111" s="27" t="str">
        <f t="shared" si="530"/>
        <v xml:space="preserve"> </v>
      </c>
      <c r="Q111" s="27" t="str">
        <f t="shared" ca="1" si="530"/>
        <v>08:00</v>
      </c>
      <c r="R111" s="27" t="str">
        <f t="shared" ca="1" si="530"/>
        <v>08:00</v>
      </c>
      <c r="S111" s="27" t="str">
        <f t="shared" ca="1" si="530"/>
        <v>08:00</v>
      </c>
      <c r="T111" s="27" t="str">
        <f t="shared" ca="1" si="530"/>
        <v xml:space="preserve"> </v>
      </c>
      <c r="U111" s="27" t="str">
        <f t="shared" ca="1" si="530"/>
        <v>08:00</v>
      </c>
      <c r="V111" s="27" t="str">
        <f t="shared" ca="1" si="530"/>
        <v>08:00</v>
      </c>
      <c r="W111" s="27" t="str">
        <f t="shared" si="530"/>
        <v xml:space="preserve"> </v>
      </c>
      <c r="X111" s="27" t="str">
        <f t="shared" ca="1" si="530"/>
        <v>08:00</v>
      </c>
      <c r="Y111" s="27" t="str">
        <f t="shared" ca="1" si="530"/>
        <v xml:space="preserve"> </v>
      </c>
      <c r="Z111" s="27" t="str">
        <f t="shared" ca="1" si="530"/>
        <v>08:00</v>
      </c>
      <c r="AA111" s="27" t="str">
        <f t="shared" ca="1" si="530"/>
        <v>08:00</v>
      </c>
      <c r="AB111" s="27" t="str">
        <f t="shared" ca="1" si="530"/>
        <v>08:00</v>
      </c>
      <c r="AC111" s="27" t="str">
        <f t="shared" ca="1" si="530"/>
        <v>08:00</v>
      </c>
      <c r="AD111" s="27" t="str">
        <f t="shared" si="530"/>
        <v xml:space="preserve"> </v>
      </c>
      <c r="AE111" s="27" t="str">
        <f t="shared" ca="1" si="530"/>
        <v>08:00</v>
      </c>
      <c r="AF111" s="27" t="str">
        <f t="shared" ca="1" si="530"/>
        <v>08:00</v>
      </c>
      <c r="AG111" s="27" t="str">
        <f t="shared" ca="1" si="530"/>
        <v>08:00</v>
      </c>
      <c r="AH111" s="27" t="str">
        <f t="shared" ca="1" si="530"/>
        <v>08:00</v>
      </c>
      <c r="AI111" s="27" t="str">
        <f t="shared" ca="1" si="530"/>
        <v>08:00</v>
      </c>
      <c r="AJ111" s="28"/>
      <c r="AK111" s="29"/>
      <c r="AL111" s="29"/>
      <c r="AM111" s="29"/>
      <c r="AN111" s="29"/>
      <c r="AO111" s="23" t="s">
        <v>22</v>
      </c>
    </row>
    <row r="112" spans="1:41" ht="15" x14ac:dyDescent="0.3">
      <c r="A112" s="26"/>
      <c r="B112" s="1" t="s">
        <v>22</v>
      </c>
      <c r="C112" s="48" t="s">
        <v>22</v>
      </c>
      <c r="D112" s="45" t="s">
        <v>12</v>
      </c>
      <c r="E112" s="27" t="str">
        <f t="shared" ref="E112:AI121" ca="1" si="531">IF(E107="P","01:00"," ")</f>
        <v>01:00</v>
      </c>
      <c r="F112" s="27" t="str">
        <f t="shared" ca="1" si="531"/>
        <v>01:00</v>
      </c>
      <c r="G112" s="27" t="str">
        <f t="shared" ca="1" si="531"/>
        <v>01:00</v>
      </c>
      <c r="H112" s="27" t="str">
        <f t="shared" ca="1" si="531"/>
        <v>01:00</v>
      </c>
      <c r="I112" s="27" t="str">
        <f t="shared" si="531"/>
        <v xml:space="preserve"> </v>
      </c>
      <c r="J112" s="27" t="str">
        <f t="shared" ca="1" si="531"/>
        <v>01:00</v>
      </c>
      <c r="K112" s="27" t="str">
        <f t="shared" ca="1" si="531"/>
        <v>01:00</v>
      </c>
      <c r="L112" s="27" t="str">
        <f t="shared" ca="1" si="531"/>
        <v>01:00</v>
      </c>
      <c r="M112" s="27" t="str">
        <f t="shared" ca="1" si="531"/>
        <v>01:00</v>
      </c>
      <c r="N112" s="27" t="str">
        <f t="shared" ca="1" si="531"/>
        <v>01:00</v>
      </c>
      <c r="O112" s="27" t="str">
        <f t="shared" ca="1" si="531"/>
        <v>01:00</v>
      </c>
      <c r="P112" s="27" t="str">
        <f t="shared" si="531"/>
        <v xml:space="preserve"> </v>
      </c>
      <c r="Q112" s="27" t="str">
        <f t="shared" ca="1" si="531"/>
        <v>01:00</v>
      </c>
      <c r="R112" s="27" t="str">
        <f t="shared" ca="1" si="531"/>
        <v>01:00</v>
      </c>
      <c r="S112" s="27" t="str">
        <f t="shared" ca="1" si="531"/>
        <v>01:00</v>
      </c>
      <c r="T112" s="27" t="str">
        <f t="shared" ca="1" si="531"/>
        <v xml:space="preserve"> </v>
      </c>
      <c r="U112" s="27" t="str">
        <f t="shared" ca="1" si="531"/>
        <v>01:00</v>
      </c>
      <c r="V112" s="27" t="str">
        <f t="shared" ca="1" si="531"/>
        <v>01:00</v>
      </c>
      <c r="W112" s="27" t="str">
        <f t="shared" si="531"/>
        <v xml:space="preserve"> </v>
      </c>
      <c r="X112" s="27" t="str">
        <f t="shared" ca="1" si="531"/>
        <v>01:00</v>
      </c>
      <c r="Y112" s="27" t="str">
        <f t="shared" ca="1" si="531"/>
        <v xml:space="preserve"> </v>
      </c>
      <c r="Z112" s="27" t="str">
        <f t="shared" ca="1" si="531"/>
        <v>01:00</v>
      </c>
      <c r="AA112" s="27" t="str">
        <f t="shared" ca="1" si="531"/>
        <v>01:00</v>
      </c>
      <c r="AB112" s="27" t="str">
        <f t="shared" ca="1" si="531"/>
        <v>01:00</v>
      </c>
      <c r="AC112" s="27" t="str">
        <f t="shared" ca="1" si="531"/>
        <v>01:00</v>
      </c>
      <c r="AD112" s="27" t="str">
        <f t="shared" si="531"/>
        <v xml:space="preserve"> </v>
      </c>
      <c r="AE112" s="27" t="str">
        <f t="shared" ca="1" si="531"/>
        <v>01:00</v>
      </c>
      <c r="AF112" s="27" t="str">
        <f t="shared" ca="1" si="531"/>
        <v>01:00</v>
      </c>
      <c r="AG112" s="27" t="str">
        <f t="shared" ca="1" si="531"/>
        <v>01:00</v>
      </c>
      <c r="AH112" s="27" t="str">
        <f t="shared" ca="1" si="531"/>
        <v>01:00</v>
      </c>
      <c r="AI112" s="27" t="str">
        <f t="shared" ca="1" si="531"/>
        <v>01:00</v>
      </c>
      <c r="AJ112" s="24" t="s">
        <v>11</v>
      </c>
      <c r="AK112" s="25"/>
      <c r="AL112" s="25"/>
      <c r="AM112" s="25"/>
      <c r="AN112" s="25"/>
      <c r="AO112" s="23" t="s">
        <v>22</v>
      </c>
    </row>
    <row r="113" spans="1:41" ht="15" x14ac:dyDescent="0.3">
      <c r="A113" s="26"/>
      <c r="B113" s="1" t="s">
        <v>22</v>
      </c>
      <c r="C113" s="48" t="s">
        <v>22</v>
      </c>
      <c r="D113" s="45" t="s">
        <v>11</v>
      </c>
      <c r="E113" s="27">
        <f t="shared" ref="E113:AI122" ca="1" si="532">IF(E107="P",E110-E112," ")</f>
        <v>0.27430555555555552</v>
      </c>
      <c r="F113" s="27">
        <f t="shared" ca="1" si="532"/>
        <v>0.29236111111111113</v>
      </c>
      <c r="G113" s="27">
        <f t="shared" ca="1" si="532"/>
        <v>0.28263888888888888</v>
      </c>
      <c r="H113" s="27">
        <f t="shared" ca="1" si="532"/>
        <v>0.27499999999999997</v>
      </c>
      <c r="I113" s="27" t="str">
        <f t="shared" si="532"/>
        <v xml:space="preserve"> </v>
      </c>
      <c r="J113" s="27">
        <f t="shared" ca="1" si="532"/>
        <v>0.29027777777777775</v>
      </c>
      <c r="K113" s="27">
        <f t="shared" ca="1" si="532"/>
        <v>0.29236111111111107</v>
      </c>
      <c r="L113" s="27">
        <f t="shared" ca="1" si="532"/>
        <v>0.28194444444444444</v>
      </c>
      <c r="M113" s="27">
        <f t="shared" ca="1" si="532"/>
        <v>0.27569444444444446</v>
      </c>
      <c r="N113" s="27">
        <f t="shared" ca="1" si="532"/>
        <v>0.31388888888888888</v>
      </c>
      <c r="O113" s="27">
        <f t="shared" ca="1" si="532"/>
        <v>0.27777777777777779</v>
      </c>
      <c r="P113" s="27" t="str">
        <f t="shared" si="532"/>
        <v xml:space="preserve"> </v>
      </c>
      <c r="Q113" s="27">
        <f t="shared" ca="1" si="532"/>
        <v>0.27916666666666667</v>
      </c>
      <c r="R113" s="27">
        <f t="shared" ca="1" si="532"/>
        <v>0.29652777777777778</v>
      </c>
      <c r="S113" s="27">
        <f t="shared" ca="1" si="532"/>
        <v>0.29583333333333334</v>
      </c>
      <c r="T113" s="27" t="str">
        <f t="shared" ca="1" si="532"/>
        <v xml:space="preserve"> </v>
      </c>
      <c r="U113" s="27">
        <f t="shared" ca="1" si="532"/>
        <v>0.29236111111111113</v>
      </c>
      <c r="V113" s="27">
        <f t="shared" ca="1" si="532"/>
        <v>0.27916666666666662</v>
      </c>
      <c r="W113" s="27" t="str">
        <f t="shared" si="532"/>
        <v xml:space="preserve"> </v>
      </c>
      <c r="X113" s="27">
        <f t="shared" ca="1" si="532"/>
        <v>0.2895833333333333</v>
      </c>
      <c r="Y113" s="27" t="str">
        <f t="shared" ca="1" si="532"/>
        <v xml:space="preserve"> </v>
      </c>
      <c r="Z113" s="27">
        <f t="shared" ca="1" si="532"/>
        <v>0.28124999999999994</v>
      </c>
      <c r="AA113" s="27">
        <f t="shared" ca="1" si="532"/>
        <v>0.29027777777777775</v>
      </c>
      <c r="AB113" s="27">
        <f t="shared" ca="1" si="532"/>
        <v>0.27013888888888887</v>
      </c>
      <c r="AC113" s="27">
        <f t="shared" ca="1" si="532"/>
        <v>0.31736111111111109</v>
      </c>
      <c r="AD113" s="27" t="str">
        <f t="shared" si="532"/>
        <v xml:space="preserve"> </v>
      </c>
      <c r="AE113" s="27">
        <f t="shared" ca="1" si="532"/>
        <v>0.27847222222222223</v>
      </c>
      <c r="AF113" s="27">
        <f t="shared" ca="1" si="532"/>
        <v>0.29583333333333334</v>
      </c>
      <c r="AG113" s="27">
        <f t="shared" ca="1" si="532"/>
        <v>0.28819444444444442</v>
      </c>
      <c r="AH113" s="27">
        <f t="shared" ca="1" si="532"/>
        <v>0.29027777777777775</v>
      </c>
      <c r="AI113" s="27">
        <f t="shared" ca="1" si="532"/>
        <v>0.31666666666666665</v>
      </c>
      <c r="AJ113" s="30">
        <f t="shared" ref="AJ113:AJ114" ca="1" si="533">SUM(E113:AH113)</f>
        <v>6.9006944444444462</v>
      </c>
      <c r="AK113" s="25"/>
      <c r="AL113" s="25"/>
      <c r="AM113" s="25"/>
      <c r="AN113" s="25"/>
      <c r="AO113" s="23" t="s">
        <v>22</v>
      </c>
    </row>
    <row r="114" spans="1:41" ht="15.6" thickBot="1" x14ac:dyDescent="0.35">
      <c r="A114" s="31"/>
      <c r="B114" s="32" t="s">
        <v>22</v>
      </c>
      <c r="C114" s="49" t="s">
        <v>22</v>
      </c>
      <c r="D114" s="46" t="s">
        <v>20</v>
      </c>
      <c r="E114" s="33">
        <f t="shared" ref="E114:AI123" ca="1" si="534">IF(E107="P",(IF(E111&gt;E113,0,E113-E111))," ")</f>
        <v>0</v>
      </c>
      <c r="F114" s="33">
        <f t="shared" ca="1" si="534"/>
        <v>0</v>
      </c>
      <c r="G114" s="33">
        <f t="shared" ca="1" si="534"/>
        <v>0</v>
      </c>
      <c r="H114" s="33">
        <f t="shared" ca="1" si="534"/>
        <v>0</v>
      </c>
      <c r="I114" s="33" t="str">
        <f t="shared" si="534"/>
        <v xml:space="preserve"> </v>
      </c>
      <c r="J114" s="33">
        <f t="shared" ca="1" si="534"/>
        <v>0</v>
      </c>
      <c r="K114" s="33">
        <f t="shared" ca="1" si="534"/>
        <v>0</v>
      </c>
      <c r="L114" s="33">
        <f t="shared" ca="1" si="534"/>
        <v>0</v>
      </c>
      <c r="M114" s="33">
        <f t="shared" ca="1" si="534"/>
        <v>0</v>
      </c>
      <c r="N114" s="33">
        <f t="shared" ca="1" si="534"/>
        <v>0</v>
      </c>
      <c r="O114" s="33">
        <f t="shared" ca="1" si="534"/>
        <v>0</v>
      </c>
      <c r="P114" s="33" t="str">
        <f t="shared" si="534"/>
        <v xml:space="preserve"> </v>
      </c>
      <c r="Q114" s="33">
        <f t="shared" ca="1" si="534"/>
        <v>0</v>
      </c>
      <c r="R114" s="33">
        <f t="shared" ca="1" si="534"/>
        <v>0</v>
      </c>
      <c r="S114" s="33">
        <f t="shared" ca="1" si="534"/>
        <v>0</v>
      </c>
      <c r="T114" s="33" t="str">
        <f t="shared" ca="1" si="534"/>
        <v xml:space="preserve"> </v>
      </c>
      <c r="U114" s="33">
        <f t="shared" ca="1" si="534"/>
        <v>0</v>
      </c>
      <c r="V114" s="33">
        <f t="shared" ca="1" si="534"/>
        <v>0</v>
      </c>
      <c r="W114" s="33" t="str">
        <f t="shared" si="534"/>
        <v xml:space="preserve"> </v>
      </c>
      <c r="X114" s="33">
        <f t="shared" ca="1" si="534"/>
        <v>0</v>
      </c>
      <c r="Y114" s="33" t="str">
        <f t="shared" ca="1" si="534"/>
        <v xml:space="preserve"> </v>
      </c>
      <c r="Z114" s="33">
        <f t="shared" ca="1" si="534"/>
        <v>0</v>
      </c>
      <c r="AA114" s="33">
        <f t="shared" ca="1" si="534"/>
        <v>0</v>
      </c>
      <c r="AB114" s="33">
        <f t="shared" ca="1" si="534"/>
        <v>0</v>
      </c>
      <c r="AC114" s="33">
        <f t="shared" ca="1" si="534"/>
        <v>0</v>
      </c>
      <c r="AD114" s="33" t="str">
        <f t="shared" si="534"/>
        <v xml:space="preserve"> </v>
      </c>
      <c r="AE114" s="33">
        <f t="shared" ca="1" si="534"/>
        <v>0</v>
      </c>
      <c r="AF114" s="33">
        <f t="shared" ca="1" si="534"/>
        <v>0</v>
      </c>
      <c r="AG114" s="33">
        <f t="shared" ca="1" si="534"/>
        <v>0</v>
      </c>
      <c r="AH114" s="33">
        <f t="shared" ca="1" si="534"/>
        <v>0</v>
      </c>
      <c r="AI114" s="33">
        <f t="shared" ca="1" si="534"/>
        <v>0</v>
      </c>
      <c r="AJ114" s="34">
        <f t="shared" ca="1" si="533"/>
        <v>0</v>
      </c>
      <c r="AK114" s="35"/>
      <c r="AL114" s="35"/>
      <c r="AM114" s="35"/>
      <c r="AN114" s="35"/>
      <c r="AO114" s="36" t="s">
        <v>22</v>
      </c>
    </row>
    <row r="115" spans="1:41" ht="15.6" thickBot="1" x14ac:dyDescent="0.35">
      <c r="A115" s="14"/>
      <c r="B115" s="15" t="s">
        <v>22</v>
      </c>
      <c r="C115" s="47" t="s">
        <v>22</v>
      </c>
      <c r="D115" s="37" t="s">
        <v>3</v>
      </c>
      <c r="E115" s="9">
        <f t="shared" ref="E115:T115" ca="1" si="535">IF(OR(E$5="",E$5=0),-2,IF(E$6=$D116,-1,RAND()))</f>
        <v>-1</v>
      </c>
      <c r="F115" s="9">
        <f t="shared" ca="1" si="535"/>
        <v>0.82226327044635783</v>
      </c>
      <c r="G115" s="9">
        <f t="shared" ca="1" si="535"/>
        <v>0.85888487527048496</v>
      </c>
      <c r="H115" s="9">
        <f t="shared" ca="1" si="535"/>
        <v>0.1432127290834776</v>
      </c>
      <c r="I115" s="9">
        <f t="shared" ca="1" si="535"/>
        <v>0.33663513945007051</v>
      </c>
      <c r="J115" s="9">
        <f t="shared" ca="1" si="535"/>
        <v>0.51165738482055789</v>
      </c>
      <c r="K115" s="9">
        <f t="shared" ca="1" si="535"/>
        <v>0.30989357222817338</v>
      </c>
      <c r="L115" s="9">
        <f t="shared" ca="1" si="535"/>
        <v>-1</v>
      </c>
      <c r="M115" s="9">
        <f t="shared" ca="1" si="535"/>
        <v>0.63797247340074059</v>
      </c>
      <c r="N115" s="9">
        <f t="shared" ca="1" si="535"/>
        <v>4.9613741428939373E-2</v>
      </c>
      <c r="O115" s="9">
        <f t="shared" ca="1" si="535"/>
        <v>0.8156073251603424</v>
      </c>
      <c r="P115" s="9">
        <f t="shared" ca="1" si="535"/>
        <v>0.37140791862540268</v>
      </c>
      <c r="Q115" s="9">
        <f t="shared" ca="1" si="535"/>
        <v>4.9629185707495971E-3</v>
      </c>
      <c r="R115" s="9">
        <f t="shared" ca="1" si="535"/>
        <v>0.19811120685712191</v>
      </c>
      <c r="S115" s="9">
        <f t="shared" ca="1" si="535"/>
        <v>-1</v>
      </c>
      <c r="T115" s="9">
        <f t="shared" ca="1" si="535"/>
        <v>0.88200457415137112</v>
      </c>
      <c r="U115" s="9">
        <f t="shared" ref="U115:AI115" ca="1" si="536">IF(OR(U$5="",U$5=0),-2,IF(U$6=$D116,-1,RAND()))</f>
        <v>0.56315994034823502</v>
      </c>
      <c r="V115" s="9">
        <f t="shared" ca="1" si="536"/>
        <v>0.29479514014754304</v>
      </c>
      <c r="W115" s="9">
        <f t="shared" ca="1" si="536"/>
        <v>9.2324993147567924E-2</v>
      </c>
      <c r="X115" s="9">
        <f t="shared" ca="1" si="536"/>
        <v>0.62630359016678472</v>
      </c>
      <c r="Y115" s="9">
        <f t="shared" ca="1" si="536"/>
        <v>0.11001305916269333</v>
      </c>
      <c r="Z115" s="9">
        <f t="shared" ca="1" si="536"/>
        <v>-1</v>
      </c>
      <c r="AA115" s="9">
        <f t="shared" ca="1" si="536"/>
        <v>0.84280872330292422</v>
      </c>
      <c r="AB115" s="9">
        <f t="shared" ca="1" si="536"/>
        <v>0.344611774503921</v>
      </c>
      <c r="AC115" s="9">
        <f t="shared" ca="1" si="536"/>
        <v>0.58642390057007066</v>
      </c>
      <c r="AD115" s="9">
        <f t="shared" ca="1" si="536"/>
        <v>0.81057988838564843</v>
      </c>
      <c r="AE115" s="9">
        <f t="shared" ca="1" si="536"/>
        <v>0.80227135526425686</v>
      </c>
      <c r="AF115" s="9">
        <f t="shared" ca="1" si="536"/>
        <v>3.8968273317770308E-2</v>
      </c>
      <c r="AG115" s="9">
        <f t="shared" ca="1" si="536"/>
        <v>-1</v>
      </c>
      <c r="AH115" s="9">
        <f t="shared" ca="1" si="536"/>
        <v>0.66279861673296081</v>
      </c>
      <c r="AI115" s="9">
        <f t="shared" ca="1" si="536"/>
        <v>0.43650196805139707</v>
      </c>
      <c r="AJ115" s="38"/>
      <c r="AK115" s="37"/>
      <c r="AL115" s="37"/>
      <c r="AM115" s="37"/>
      <c r="AN115" s="37"/>
      <c r="AO115" s="39" t="s">
        <v>22</v>
      </c>
    </row>
    <row r="116" spans="1:41" ht="15.6" thickBot="1" x14ac:dyDescent="0.35">
      <c r="A116" s="42"/>
      <c r="B116" s="44" t="s">
        <v>34</v>
      </c>
      <c r="C116" s="43" t="s">
        <v>56</v>
      </c>
      <c r="D116" s="37" t="s">
        <v>72</v>
      </c>
      <c r="E116" s="9" t="str">
        <f t="shared" ref="E116" si="537">IF(OR(E$5="",E$5=0),"",IF(E$6=$D116,"W",IF(_xlfn.RANK.EQ(E115,$E115:$AI115,0)&lt;=INT($AO116),"P",IF(AND(_xlfn.RANK.EQ(E115,$E115:$AI115,0)=INT($AO116)+1,MOD($AO116,1)=0.5),"H","A"))))</f>
        <v>W</v>
      </c>
      <c r="F116" s="9" t="str">
        <f t="shared" ref="F116" ca="1" si="538">IF(OR(F$5="",F$5=0),"",IF(F$6=$D116,"W",IF(_xlfn.RANK.EQ(F115,$E115:$AI115,0)&lt;=INT($AO116),"P",IF(AND(_xlfn.RANK.EQ(F115,$E115:$AI115,0)=INT($AO116)+1,MOD($AO116,1)=0.5),"H","A"))))</f>
        <v>P</v>
      </c>
      <c r="G116" s="9" t="str">
        <f t="shared" ref="G116" ca="1" si="539">IF(OR(G$5="",G$5=0),"",IF(G$6=$D116,"W",IF(_xlfn.RANK.EQ(G115,$E115:$AI115,0)&lt;=INT($AO116),"P",IF(AND(_xlfn.RANK.EQ(G115,$E115:$AI115,0)=INT($AO116)+1,MOD($AO116,1)=0.5),"H","A"))))</f>
        <v>P</v>
      </c>
      <c r="H116" s="9" t="str">
        <f t="shared" ref="H116" ca="1" si="540">IF(OR(H$5="",H$5=0),"",IF(H$6=$D116,"W",IF(_xlfn.RANK.EQ(H115,$E115:$AI115,0)&lt;=INT($AO116),"P",IF(AND(_xlfn.RANK.EQ(H115,$E115:$AI115,0)=INT($AO116)+1,MOD($AO116,1)=0.5),"H","A"))))</f>
        <v>P</v>
      </c>
      <c r="I116" s="9" t="str">
        <f t="shared" ref="I116" ca="1" si="541">IF(OR(I$5="",I$5=0),"",IF(I$6=$D116,"W",IF(_xlfn.RANK.EQ(I115,$E115:$AI115,0)&lt;=INT($AO116),"P",IF(AND(_xlfn.RANK.EQ(I115,$E115:$AI115,0)=INT($AO116)+1,MOD($AO116,1)=0.5),"H","A"))))</f>
        <v>P</v>
      </c>
      <c r="J116" s="9" t="str">
        <f t="shared" ref="J116" ca="1" si="542">IF(OR(J$5="",J$5=0),"",IF(J$6=$D116,"W",IF(_xlfn.RANK.EQ(J115,$E115:$AI115,0)&lt;=INT($AO116),"P",IF(AND(_xlfn.RANK.EQ(J115,$E115:$AI115,0)=INT($AO116)+1,MOD($AO116,1)=0.5),"H","A"))))</f>
        <v>P</v>
      </c>
      <c r="K116" s="9" t="str">
        <f t="shared" ref="K116" ca="1" si="543">IF(OR(K$5="",K$5=0),"",IF(K$6=$D116,"W",IF(_xlfn.RANK.EQ(K115,$E115:$AI115,0)&lt;=INT($AO116),"P",IF(AND(_xlfn.RANK.EQ(K115,$E115:$AI115,0)=INT($AO116)+1,MOD($AO116,1)=0.5),"H","A"))))</f>
        <v>P</v>
      </c>
      <c r="L116" s="9" t="str">
        <f t="shared" ref="L116" si="544">IF(OR(L$5="",L$5=0),"",IF(L$6=$D116,"W",IF(_xlfn.RANK.EQ(L115,$E115:$AI115,0)&lt;=INT($AO116),"P",IF(AND(_xlfn.RANK.EQ(L115,$E115:$AI115,0)=INT($AO116)+1,MOD($AO116,1)=0.5),"H","A"))))</f>
        <v>W</v>
      </c>
      <c r="M116" s="9" t="str">
        <f t="shared" ref="M116" ca="1" si="545">IF(OR(M$5="",M$5=0),"",IF(M$6=$D116,"W",IF(_xlfn.RANK.EQ(M115,$E115:$AI115,0)&lt;=INT($AO116),"P",IF(AND(_xlfn.RANK.EQ(M115,$E115:$AI115,0)=INT($AO116)+1,MOD($AO116,1)=0.5),"H","A"))))</f>
        <v>P</v>
      </c>
      <c r="N116" s="9" t="str">
        <f t="shared" ref="N116" ca="1" si="546">IF(OR(N$5="",N$5=0),"",IF(N$6=$D116,"W",IF(_xlfn.RANK.EQ(N115,$E115:$AI115,0)&lt;=INT($AO116),"P",IF(AND(_xlfn.RANK.EQ(N115,$E115:$AI115,0)=INT($AO116)+1,MOD($AO116,1)=0.5),"H","A"))))</f>
        <v>P</v>
      </c>
      <c r="O116" s="9" t="str">
        <f t="shared" ref="O116" ca="1" si="547">IF(OR(O$5="",O$5=0),"",IF(O$6=$D116,"W",IF(_xlfn.RANK.EQ(O115,$E115:$AI115,0)&lt;=INT($AO116),"P",IF(AND(_xlfn.RANK.EQ(O115,$E115:$AI115,0)=INT($AO116)+1,MOD($AO116,1)=0.5),"H","A"))))</f>
        <v>P</v>
      </c>
      <c r="P116" s="9" t="str">
        <f t="shared" ref="P116" ca="1" si="548">IF(OR(P$5="",P$5=0),"",IF(P$6=$D116,"W",IF(_xlfn.RANK.EQ(P115,$E115:$AI115,0)&lt;=INT($AO116),"P",IF(AND(_xlfn.RANK.EQ(P115,$E115:$AI115,0)=INT($AO116)+1,MOD($AO116,1)=0.5),"H","A"))))</f>
        <v>P</v>
      </c>
      <c r="Q116" s="9" t="str">
        <f t="shared" ref="Q116" ca="1" si="549">IF(OR(Q$5="",Q$5=0),"",IF(Q$6=$D116,"W",IF(_xlfn.RANK.EQ(Q115,$E115:$AI115,0)&lt;=INT($AO116),"P",IF(AND(_xlfn.RANK.EQ(Q115,$E115:$AI115,0)=INT($AO116)+1,MOD($AO116,1)=0.5),"H","A"))))</f>
        <v>P</v>
      </c>
      <c r="R116" s="9" t="str">
        <f t="shared" ref="R116" ca="1" si="550">IF(OR(R$5="",R$5=0),"",IF(R$6=$D116,"W",IF(_xlfn.RANK.EQ(R115,$E115:$AI115,0)&lt;=INT($AO116),"P",IF(AND(_xlfn.RANK.EQ(R115,$E115:$AI115,0)=INT($AO116)+1,MOD($AO116,1)=0.5),"H","A"))))</f>
        <v>P</v>
      </c>
      <c r="S116" s="9" t="str">
        <f t="shared" ref="S116" si="551">IF(OR(S$5="",S$5=0),"",IF(S$6=$D116,"W",IF(_xlfn.RANK.EQ(S115,$E115:$AI115,0)&lt;=INT($AO116),"P",IF(AND(_xlfn.RANK.EQ(S115,$E115:$AI115,0)=INT($AO116)+1,MOD($AO116,1)=0.5),"H","A"))))</f>
        <v>W</v>
      </c>
      <c r="T116" s="9" t="str">
        <f t="shared" ref="T116" ca="1" si="552">IF(OR(T$5="",T$5=0),"",IF(T$6=$D116,"W",IF(_xlfn.RANK.EQ(T115,$E115:$AI115,0)&lt;=INT($AO116),"P",IF(AND(_xlfn.RANK.EQ(T115,$E115:$AI115,0)=INT($AO116)+1,MOD($AO116,1)=0.5),"H","A"))))</f>
        <v>P</v>
      </c>
      <c r="U116" s="9" t="str">
        <f t="shared" ref="U116" ca="1" si="553">IF(OR(U$5="",U$5=0),"",IF(U$6=$D116,"W",IF(_xlfn.RANK.EQ(U115,$E115:$AI115,0)&lt;=INT($AO116),"P",IF(AND(_xlfn.RANK.EQ(U115,$E115:$AI115,0)=INT($AO116)+1,MOD($AO116,1)=0.5),"H","A"))))</f>
        <v>P</v>
      </c>
      <c r="V116" s="9" t="str">
        <f t="shared" ref="V116" ca="1" si="554">IF(OR(V$5="",V$5=0),"",IF(V$6=$D116,"W",IF(_xlfn.RANK.EQ(V115,$E115:$AI115,0)&lt;=INT($AO116),"P",IF(AND(_xlfn.RANK.EQ(V115,$E115:$AI115,0)=INT($AO116)+1,MOD($AO116,1)=0.5),"H","A"))))</f>
        <v>P</v>
      </c>
      <c r="W116" s="9" t="str">
        <f t="shared" ref="W116" ca="1" si="555">IF(OR(W$5="",W$5=0),"",IF(W$6=$D116,"W",IF(_xlfn.RANK.EQ(W115,$E115:$AI115,0)&lt;=INT($AO116),"P",IF(AND(_xlfn.RANK.EQ(W115,$E115:$AI115,0)=INT($AO116)+1,MOD($AO116,1)=0.5),"H","A"))))</f>
        <v>P</v>
      </c>
      <c r="X116" s="9" t="str">
        <f t="shared" ref="X116" ca="1" si="556">IF(OR(X$5="",X$5=0),"",IF(X$6=$D116,"W",IF(_xlfn.RANK.EQ(X115,$E115:$AI115,0)&lt;=INT($AO116),"P",IF(AND(_xlfn.RANK.EQ(X115,$E115:$AI115,0)=INT($AO116)+1,MOD($AO116,1)=0.5),"H","A"))))</f>
        <v>P</v>
      </c>
      <c r="Y116" s="9" t="str">
        <f t="shared" ref="Y116" ca="1" si="557">IF(OR(Y$5="",Y$5=0),"",IF(Y$6=$D116,"W",IF(_xlfn.RANK.EQ(Y115,$E115:$AI115,0)&lt;=INT($AO116),"P",IF(AND(_xlfn.RANK.EQ(Y115,$E115:$AI115,0)=INT($AO116)+1,MOD($AO116,1)=0.5),"H","A"))))</f>
        <v>P</v>
      </c>
      <c r="Z116" s="9" t="str">
        <f t="shared" ref="Z116" si="558">IF(OR(Z$5="",Z$5=0),"",IF(Z$6=$D116,"W",IF(_xlfn.RANK.EQ(Z115,$E115:$AI115,0)&lt;=INT($AO116),"P",IF(AND(_xlfn.RANK.EQ(Z115,$E115:$AI115,0)=INT($AO116)+1,MOD($AO116,1)=0.5),"H","A"))))</f>
        <v>W</v>
      </c>
      <c r="AA116" s="9" t="str">
        <f t="shared" ref="AA116" ca="1" si="559">IF(OR(AA$5="",AA$5=0),"",IF(AA$6=$D116,"W",IF(_xlfn.RANK.EQ(AA115,$E115:$AI115,0)&lt;=INT($AO116),"P",IF(AND(_xlfn.RANK.EQ(AA115,$E115:$AI115,0)=INT($AO116)+1,MOD($AO116,1)=0.5),"H","A"))))</f>
        <v>P</v>
      </c>
      <c r="AB116" s="9" t="str">
        <f t="shared" ref="AB116" ca="1" si="560">IF(OR(AB$5="",AB$5=0),"",IF(AB$6=$D116,"W",IF(_xlfn.RANK.EQ(AB115,$E115:$AI115,0)&lt;=INT($AO116),"P",IF(AND(_xlfn.RANK.EQ(AB115,$E115:$AI115,0)=INT($AO116)+1,MOD($AO116,1)=0.5),"H","A"))))</f>
        <v>P</v>
      </c>
      <c r="AC116" s="9" t="str">
        <f t="shared" ref="AC116" ca="1" si="561">IF(OR(AC$5="",AC$5=0),"",IF(AC$6=$D116,"W",IF(_xlfn.RANK.EQ(AC115,$E115:$AI115,0)&lt;=INT($AO116),"P",IF(AND(_xlfn.RANK.EQ(AC115,$E115:$AI115,0)=INT($AO116)+1,MOD($AO116,1)=0.5),"H","A"))))</f>
        <v>P</v>
      </c>
      <c r="AD116" s="9" t="str">
        <f t="shared" ref="AD116" ca="1" si="562">IF(OR(AD$5="",AD$5=0),"",IF(AD$6=$D116,"W",IF(_xlfn.RANK.EQ(AD115,$E115:$AI115,0)&lt;=INT($AO116),"P",IF(AND(_xlfn.RANK.EQ(AD115,$E115:$AI115,0)=INT($AO116)+1,MOD($AO116,1)=0.5),"H","A"))))</f>
        <v>P</v>
      </c>
      <c r="AE116" s="9" t="str">
        <f t="shared" ref="AE116" ca="1" si="563">IF(OR(AE$5="",AE$5=0),"",IF(AE$6=$D116,"W",IF(_xlfn.RANK.EQ(AE115,$E115:$AI115,0)&lt;=INT($AO116),"P",IF(AND(_xlfn.RANK.EQ(AE115,$E115:$AI115,0)=INT($AO116)+1,MOD($AO116,1)=0.5),"H","A"))))</f>
        <v>P</v>
      </c>
      <c r="AF116" s="9" t="str">
        <f t="shared" ref="AF116" ca="1" si="564">IF(OR(AF$5="",AF$5=0),"",IF(AF$6=$D116,"W",IF(_xlfn.RANK.EQ(AF115,$E115:$AI115,0)&lt;=INT($AO116),"P",IF(AND(_xlfn.RANK.EQ(AF115,$E115:$AI115,0)=INT($AO116)+1,MOD($AO116,1)=0.5),"H","A"))))</f>
        <v>P</v>
      </c>
      <c r="AG116" s="9" t="str">
        <f t="shared" ref="AG116" si="565">IF(OR(AG$5="",AG$5=0),"",IF(AG$6=$D116,"W",IF(_xlfn.RANK.EQ(AG115,$E115:$AI115,0)&lt;=INT($AO116),"P",IF(AND(_xlfn.RANK.EQ(AG115,$E115:$AI115,0)=INT($AO116)+1,MOD($AO116,1)=0.5),"H","A"))))</f>
        <v>W</v>
      </c>
      <c r="AH116" s="9" t="str">
        <f t="shared" ref="AH116" ca="1" si="566">IF(OR(AH$5="",AH$5=0),"",IF(AH$6=$D116,"W",IF(_xlfn.RANK.EQ(AH115,$E115:$AI115,0)&lt;=INT($AO116),"P",IF(AND(_xlfn.RANK.EQ(AH115,$E115:$AI115,0)=INT($AO116)+1,MOD($AO116,1)=0.5),"H","A"))))</f>
        <v>P</v>
      </c>
      <c r="AI116" s="9" t="str">
        <f t="shared" ref="AI116" ca="1" si="567">IF(OR(AI$5="",AI$5=0),"",IF(AI$6=$D116,"W",IF(_xlfn.RANK.EQ(AI115,$E115:$AI115,0)&lt;=INT($AO116),"P",IF(AND(_xlfn.RANK.EQ(AI115,$E115:$AI115,0)=INT($AO116)+1,MOD($AO116,1)=0.5),"H","A"))))</f>
        <v>P</v>
      </c>
      <c r="AJ116" s="16">
        <f t="shared" ref="AJ116" ca="1" si="568">COUNTIF(E116:AI116, "P")</f>
        <v>26</v>
      </c>
      <c r="AK116" s="17">
        <f t="shared" ref="AK116" ca="1" si="569">COUNTIF(E116:AH116, "A")</f>
        <v>0</v>
      </c>
      <c r="AL116" s="17">
        <f t="shared" ref="AL116" ca="1" si="570">COUNTIF(E116:AH116, "W")</f>
        <v>5</v>
      </c>
      <c r="AM116" s="17">
        <f t="shared" ref="AM116" ca="1" si="571">COUNTIF(E116:AH116, "H")</f>
        <v>0</v>
      </c>
      <c r="AN116" s="17">
        <f t="shared" ref="AN116" ca="1" si="572">COUNTIF(E116:AH116, "PL")</f>
        <v>0</v>
      </c>
      <c r="AO116" s="18">
        <v>26</v>
      </c>
    </row>
    <row r="117" spans="1:41" ht="15" x14ac:dyDescent="0.3">
      <c r="A117" s="19"/>
      <c r="B117" s="1" t="s">
        <v>22</v>
      </c>
      <c r="C117" s="48" t="s">
        <v>22</v>
      </c>
      <c r="D117" s="45" t="s">
        <v>1</v>
      </c>
      <c r="E117" s="20" t="str">
        <f t="shared" ref="E117:AH117" ca="1" si="573">IF(E116="P", IF($D115="G", TEXT(RAND()*(9.27-9.62)/24+9.62/24,"HH:MM"), IF($D115="A", TEXT(RAND()*(8.06-8.1)/24+8.15/24,"HH:MM"), IF($D115="B", TEXT(RAND()*(16.06-16.1)/24+16.15/24,"HH:MM"), IF($D115="C", TEXT(RAND()*(24.85-24.13)/24+24.13/24,"HH:MM"), " ")))), "")</f>
        <v/>
      </c>
      <c r="F117" s="20" t="str">
        <f t="shared" ca="1" si="573"/>
        <v>08:08</v>
      </c>
      <c r="G117" s="20" t="str">
        <f t="shared" ca="1" si="573"/>
        <v>08:07</v>
      </c>
      <c r="H117" s="20" t="str">
        <f t="shared" ca="1" si="573"/>
        <v>08:08</v>
      </c>
      <c r="I117" s="20" t="str">
        <f t="shared" ca="1" si="573"/>
        <v>08:07</v>
      </c>
      <c r="J117" s="20" t="str">
        <f t="shared" ca="1" si="573"/>
        <v>08:06</v>
      </c>
      <c r="K117" s="20" t="str">
        <f t="shared" ca="1" si="573"/>
        <v>08:08</v>
      </c>
      <c r="L117" s="20" t="str">
        <f t="shared" ca="1" si="573"/>
        <v/>
      </c>
      <c r="M117" s="20" t="str">
        <f t="shared" ca="1" si="573"/>
        <v>08:06</v>
      </c>
      <c r="N117" s="20" t="str">
        <f t="shared" ca="1" si="573"/>
        <v>08:08</v>
      </c>
      <c r="O117" s="20" t="str">
        <f t="shared" ca="1" si="573"/>
        <v>08:06</v>
      </c>
      <c r="P117" s="20" t="str">
        <f t="shared" ca="1" si="573"/>
        <v>08:07</v>
      </c>
      <c r="Q117" s="20" t="str">
        <f t="shared" ca="1" si="573"/>
        <v>08:07</v>
      </c>
      <c r="R117" s="20" t="str">
        <f t="shared" ca="1" si="573"/>
        <v>08:08</v>
      </c>
      <c r="S117" s="20" t="str">
        <f t="shared" ca="1" si="573"/>
        <v/>
      </c>
      <c r="T117" s="20" t="str">
        <f t="shared" ca="1" si="573"/>
        <v>08:06</v>
      </c>
      <c r="U117" s="20" t="str">
        <f t="shared" ca="1" si="573"/>
        <v>08:07</v>
      </c>
      <c r="V117" s="20" t="str">
        <f t="shared" ca="1" si="573"/>
        <v>08:07</v>
      </c>
      <c r="W117" s="20" t="str">
        <f t="shared" ca="1" si="573"/>
        <v>08:07</v>
      </c>
      <c r="X117" s="20" t="str">
        <f t="shared" ca="1" si="573"/>
        <v>08:08</v>
      </c>
      <c r="Y117" s="20" t="str">
        <f t="shared" ca="1" si="573"/>
        <v>08:07</v>
      </c>
      <c r="Z117" s="20" t="str">
        <f t="shared" ca="1" si="573"/>
        <v/>
      </c>
      <c r="AA117" s="20" t="str">
        <f t="shared" ca="1" si="573"/>
        <v>08:07</v>
      </c>
      <c r="AB117" s="20" t="str">
        <f t="shared" ca="1" si="573"/>
        <v>08:06</v>
      </c>
      <c r="AC117" s="20" t="str">
        <f t="shared" ca="1" si="573"/>
        <v>08:07</v>
      </c>
      <c r="AD117" s="20" t="str">
        <f t="shared" ca="1" si="573"/>
        <v>08:08</v>
      </c>
      <c r="AE117" s="20" t="str">
        <f t="shared" ca="1" si="573"/>
        <v>08:06</v>
      </c>
      <c r="AF117" s="20" t="str">
        <f t="shared" ca="1" si="573"/>
        <v>08:08</v>
      </c>
      <c r="AG117" s="20" t="str">
        <f t="shared" ca="1" si="573"/>
        <v/>
      </c>
      <c r="AH117" s="20" t="str">
        <f t="shared" ca="1" si="573"/>
        <v>08:08</v>
      </c>
      <c r="AI117" s="20" t="str">
        <f t="shared" ca="1" si="526"/>
        <v>08:07</v>
      </c>
      <c r="AJ117" s="21"/>
      <c r="AK117" s="22"/>
      <c r="AL117" s="22"/>
      <c r="AM117" s="22"/>
      <c r="AN117" s="22"/>
      <c r="AO117" s="23" t="s">
        <v>22</v>
      </c>
    </row>
    <row r="118" spans="1:41" ht="15" x14ac:dyDescent="0.3">
      <c r="A118" s="19"/>
      <c r="B118" s="1" t="s">
        <v>22</v>
      </c>
      <c r="C118" s="48" t="s">
        <v>22</v>
      </c>
      <c r="D118" s="45" t="s">
        <v>2</v>
      </c>
      <c r="E118" s="20" t="str">
        <f t="shared" ref="E118:AH118" ca="1" si="574">IF(E116="P", IF($D115="G", TEXT(RAND()*(18.85-18.13)/24+18.13/24,"HH:MM"), IF($D115="A", TEXT(RAND()*(16.85-16.13)/24+16.13/24,"HH:MM"), IF($D115="B", TEXT(RAND()*(24.85-24.13)/24+24.13/24,"HH:MM"), IF($D115="C", TEXT(RAND()*(8.85-8.13)/24+8.13/24,"HH:MM"), " ")))), "")</f>
        <v/>
      </c>
      <c r="F118" s="20" t="str">
        <f t="shared" ca="1" si="574"/>
        <v>16:13</v>
      </c>
      <c r="G118" s="20" t="str">
        <f t="shared" ca="1" si="574"/>
        <v>16:32</v>
      </c>
      <c r="H118" s="20" t="str">
        <f t="shared" ca="1" si="574"/>
        <v>16:30</v>
      </c>
      <c r="I118" s="20" t="str">
        <f t="shared" ca="1" si="574"/>
        <v>16:36</v>
      </c>
      <c r="J118" s="20" t="str">
        <f t="shared" ca="1" si="574"/>
        <v>16:08</v>
      </c>
      <c r="K118" s="20" t="str">
        <f t="shared" ca="1" si="574"/>
        <v>16:42</v>
      </c>
      <c r="L118" s="20" t="str">
        <f t="shared" ca="1" si="574"/>
        <v/>
      </c>
      <c r="M118" s="20" t="str">
        <f t="shared" ca="1" si="574"/>
        <v>16:34</v>
      </c>
      <c r="N118" s="20" t="str">
        <f t="shared" ca="1" si="574"/>
        <v>16:11</v>
      </c>
      <c r="O118" s="20" t="str">
        <f t="shared" ca="1" si="574"/>
        <v>16:20</v>
      </c>
      <c r="P118" s="20" t="str">
        <f t="shared" ca="1" si="574"/>
        <v>16:15</v>
      </c>
      <c r="Q118" s="20" t="str">
        <f t="shared" ca="1" si="574"/>
        <v>16:25</v>
      </c>
      <c r="R118" s="20" t="str">
        <f t="shared" ca="1" si="574"/>
        <v>16:28</v>
      </c>
      <c r="S118" s="20" t="str">
        <f t="shared" ca="1" si="574"/>
        <v/>
      </c>
      <c r="T118" s="20" t="str">
        <f t="shared" ca="1" si="574"/>
        <v>16:22</v>
      </c>
      <c r="U118" s="20" t="str">
        <f t="shared" ca="1" si="574"/>
        <v>16:46</v>
      </c>
      <c r="V118" s="20" t="str">
        <f t="shared" ca="1" si="574"/>
        <v>16:22</v>
      </c>
      <c r="W118" s="20" t="str">
        <f t="shared" ca="1" si="574"/>
        <v>16:44</v>
      </c>
      <c r="X118" s="20" t="str">
        <f t="shared" ca="1" si="574"/>
        <v>16:34</v>
      </c>
      <c r="Y118" s="20" t="str">
        <f t="shared" ca="1" si="574"/>
        <v>16:09</v>
      </c>
      <c r="Z118" s="20" t="str">
        <f t="shared" ca="1" si="574"/>
        <v/>
      </c>
      <c r="AA118" s="20" t="str">
        <f t="shared" ca="1" si="574"/>
        <v>16:24</v>
      </c>
      <c r="AB118" s="20" t="str">
        <f t="shared" ca="1" si="574"/>
        <v>16:50</v>
      </c>
      <c r="AC118" s="20" t="str">
        <f t="shared" ca="1" si="574"/>
        <v>16:42</v>
      </c>
      <c r="AD118" s="20" t="str">
        <f t="shared" ca="1" si="574"/>
        <v>16:27</v>
      </c>
      <c r="AE118" s="20" t="str">
        <f t="shared" ca="1" si="574"/>
        <v>16:37</v>
      </c>
      <c r="AF118" s="20" t="str">
        <f t="shared" ca="1" si="574"/>
        <v>16:14</v>
      </c>
      <c r="AG118" s="20" t="str">
        <f t="shared" ca="1" si="574"/>
        <v/>
      </c>
      <c r="AH118" s="20" t="str">
        <f t="shared" ca="1" si="574"/>
        <v>16:35</v>
      </c>
      <c r="AI118" s="20" t="str">
        <f t="shared" ca="1" si="527"/>
        <v>16:17</v>
      </c>
      <c r="AJ118" s="24" t="s">
        <v>13</v>
      </c>
      <c r="AK118" s="25"/>
      <c r="AL118" s="25"/>
      <c r="AM118" s="25"/>
      <c r="AN118" s="25"/>
      <c r="AO118" s="23" t="s">
        <v>22</v>
      </c>
    </row>
    <row r="119" spans="1:41" ht="15" x14ac:dyDescent="0.3">
      <c r="A119" s="26"/>
      <c r="B119" s="1" t="s">
        <v>22</v>
      </c>
      <c r="C119" s="48" t="s">
        <v>22</v>
      </c>
      <c r="D119" s="45" t="s">
        <v>14</v>
      </c>
      <c r="E119" s="27" t="str">
        <f t="shared" ref="E119:AH119" si="575">IF(E116="P", MOD(E118-E117, 1), " ")</f>
        <v xml:space="preserve"> </v>
      </c>
      <c r="F119" s="27">
        <f t="shared" ca="1" si="575"/>
        <v>0.33680555555555558</v>
      </c>
      <c r="G119" s="27">
        <f t="shared" ca="1" si="575"/>
        <v>0.35069444444444442</v>
      </c>
      <c r="H119" s="27">
        <f t="shared" ca="1" si="575"/>
        <v>0.34861111111111109</v>
      </c>
      <c r="I119" s="27">
        <f t="shared" ca="1" si="575"/>
        <v>0.35347222222222219</v>
      </c>
      <c r="J119" s="27">
        <f t="shared" ca="1" si="575"/>
        <v>0.33472222222222225</v>
      </c>
      <c r="K119" s="27">
        <f t="shared" ca="1" si="575"/>
        <v>0.3569444444444444</v>
      </c>
      <c r="L119" s="27" t="str">
        <f t="shared" si="575"/>
        <v xml:space="preserve"> </v>
      </c>
      <c r="M119" s="27">
        <f t="shared" ca="1" si="575"/>
        <v>0.35277777777777775</v>
      </c>
      <c r="N119" s="27">
        <f t="shared" ca="1" si="575"/>
        <v>0.3354166666666667</v>
      </c>
      <c r="O119" s="27">
        <f t="shared" ca="1" si="575"/>
        <v>0.34305555555555556</v>
      </c>
      <c r="P119" s="27">
        <f t="shared" ca="1" si="575"/>
        <v>0.33888888888888891</v>
      </c>
      <c r="Q119" s="27">
        <f t="shared" ca="1" si="575"/>
        <v>0.34583333333333333</v>
      </c>
      <c r="R119" s="27">
        <f t="shared" ca="1" si="575"/>
        <v>0.34722222222222221</v>
      </c>
      <c r="S119" s="27" t="str">
        <f t="shared" si="575"/>
        <v xml:space="preserve"> </v>
      </c>
      <c r="T119" s="27">
        <f t="shared" ca="1" si="575"/>
        <v>0.34444444444444444</v>
      </c>
      <c r="U119" s="27">
        <f t="shared" ca="1" si="575"/>
        <v>0.36041666666666661</v>
      </c>
      <c r="V119" s="27">
        <f t="shared" ca="1" si="575"/>
        <v>0.34375</v>
      </c>
      <c r="W119" s="27">
        <f t="shared" ca="1" si="575"/>
        <v>0.35902777777777772</v>
      </c>
      <c r="X119" s="27">
        <f t="shared" ca="1" si="575"/>
        <v>0.35138888888888886</v>
      </c>
      <c r="Y119" s="27">
        <f t="shared" ca="1" si="575"/>
        <v>0.33472222222222225</v>
      </c>
      <c r="Z119" s="27" t="str">
        <f t="shared" si="575"/>
        <v xml:space="preserve"> </v>
      </c>
      <c r="AA119" s="27">
        <f t="shared" ca="1" si="575"/>
        <v>0.34513888888888888</v>
      </c>
      <c r="AB119" s="27">
        <f t="shared" ca="1" si="575"/>
        <v>0.36388888888888882</v>
      </c>
      <c r="AC119" s="27">
        <f t="shared" ca="1" si="575"/>
        <v>0.35763888888888884</v>
      </c>
      <c r="AD119" s="27">
        <f t="shared" ca="1" si="575"/>
        <v>0.34652777777777777</v>
      </c>
      <c r="AE119" s="27">
        <f t="shared" ca="1" si="575"/>
        <v>0.35486111111111107</v>
      </c>
      <c r="AF119" s="27">
        <f t="shared" ca="1" si="575"/>
        <v>0.33750000000000002</v>
      </c>
      <c r="AG119" s="27" t="str">
        <f t="shared" si="575"/>
        <v xml:space="preserve"> </v>
      </c>
      <c r="AH119" s="27">
        <f t="shared" ca="1" si="575"/>
        <v>0.3520833333333333</v>
      </c>
      <c r="AI119" s="27">
        <f t="shared" ca="1" si="528"/>
        <v>0.34027777777777779</v>
      </c>
      <c r="AJ119" s="28">
        <f t="shared" ref="AJ119" ca="1" si="576">AJ116*8</f>
        <v>208</v>
      </c>
      <c r="AK119" s="29"/>
      <c r="AL119" s="29"/>
      <c r="AM119" s="29"/>
      <c r="AN119" s="29"/>
      <c r="AO119" s="23" t="s">
        <v>22</v>
      </c>
    </row>
    <row r="120" spans="1:41" ht="15" x14ac:dyDescent="0.3">
      <c r="A120" s="26"/>
      <c r="B120" s="1" t="s">
        <v>22</v>
      </c>
      <c r="C120" s="48" t="s">
        <v>22</v>
      </c>
      <c r="D120" s="45" t="s">
        <v>19</v>
      </c>
      <c r="E120" s="27" t="str">
        <f t="shared" ref="E120:AH120" si="577">IF(E116="P","08:00"," ")</f>
        <v xml:space="preserve"> </v>
      </c>
      <c r="F120" s="27" t="str">
        <f t="shared" ca="1" si="577"/>
        <v>08:00</v>
      </c>
      <c r="G120" s="27" t="str">
        <f t="shared" ca="1" si="577"/>
        <v>08:00</v>
      </c>
      <c r="H120" s="27" t="str">
        <f t="shared" ca="1" si="577"/>
        <v>08:00</v>
      </c>
      <c r="I120" s="27" t="str">
        <f t="shared" ca="1" si="577"/>
        <v>08:00</v>
      </c>
      <c r="J120" s="27" t="str">
        <f t="shared" ca="1" si="577"/>
        <v>08:00</v>
      </c>
      <c r="K120" s="27" t="str">
        <f t="shared" ca="1" si="577"/>
        <v>08:00</v>
      </c>
      <c r="L120" s="27" t="str">
        <f t="shared" si="577"/>
        <v xml:space="preserve"> </v>
      </c>
      <c r="M120" s="27" t="str">
        <f t="shared" ca="1" si="577"/>
        <v>08:00</v>
      </c>
      <c r="N120" s="27" t="str">
        <f t="shared" ca="1" si="577"/>
        <v>08:00</v>
      </c>
      <c r="O120" s="27" t="str">
        <f t="shared" ca="1" si="577"/>
        <v>08:00</v>
      </c>
      <c r="P120" s="27" t="str">
        <f t="shared" ca="1" si="577"/>
        <v>08:00</v>
      </c>
      <c r="Q120" s="27" t="str">
        <f t="shared" ca="1" si="577"/>
        <v>08:00</v>
      </c>
      <c r="R120" s="27" t="str">
        <f t="shared" ca="1" si="577"/>
        <v>08:00</v>
      </c>
      <c r="S120" s="27" t="str">
        <f t="shared" si="577"/>
        <v xml:space="preserve"> </v>
      </c>
      <c r="T120" s="27" t="str">
        <f t="shared" ca="1" si="577"/>
        <v>08:00</v>
      </c>
      <c r="U120" s="27" t="str">
        <f t="shared" ca="1" si="577"/>
        <v>08:00</v>
      </c>
      <c r="V120" s="27" t="str">
        <f t="shared" ca="1" si="577"/>
        <v>08:00</v>
      </c>
      <c r="W120" s="27" t="str">
        <f t="shared" ca="1" si="577"/>
        <v>08:00</v>
      </c>
      <c r="X120" s="27" t="str">
        <f t="shared" ca="1" si="577"/>
        <v>08:00</v>
      </c>
      <c r="Y120" s="27" t="str">
        <f t="shared" ca="1" si="577"/>
        <v>08:00</v>
      </c>
      <c r="Z120" s="27" t="str">
        <f t="shared" si="577"/>
        <v xml:space="preserve"> </v>
      </c>
      <c r="AA120" s="27" t="str">
        <f t="shared" ca="1" si="577"/>
        <v>08:00</v>
      </c>
      <c r="AB120" s="27" t="str">
        <f t="shared" ca="1" si="577"/>
        <v>08:00</v>
      </c>
      <c r="AC120" s="27" t="str">
        <f t="shared" ca="1" si="577"/>
        <v>08:00</v>
      </c>
      <c r="AD120" s="27" t="str">
        <f t="shared" ca="1" si="577"/>
        <v>08:00</v>
      </c>
      <c r="AE120" s="27" t="str">
        <f t="shared" ca="1" si="577"/>
        <v>08:00</v>
      </c>
      <c r="AF120" s="27" t="str">
        <f t="shared" ca="1" si="577"/>
        <v>08:00</v>
      </c>
      <c r="AG120" s="27" t="str">
        <f t="shared" si="577"/>
        <v xml:space="preserve"> </v>
      </c>
      <c r="AH120" s="27" t="str">
        <f t="shared" ca="1" si="577"/>
        <v>08:00</v>
      </c>
      <c r="AI120" s="27" t="str">
        <f t="shared" ca="1" si="530"/>
        <v>08:00</v>
      </c>
      <c r="AJ120" s="28"/>
      <c r="AK120" s="29"/>
      <c r="AL120" s="29"/>
      <c r="AM120" s="29"/>
      <c r="AN120" s="29"/>
      <c r="AO120" s="23" t="s">
        <v>22</v>
      </c>
    </row>
    <row r="121" spans="1:41" ht="15" x14ac:dyDescent="0.3">
      <c r="A121" s="26"/>
      <c r="B121" s="1" t="s">
        <v>22</v>
      </c>
      <c r="C121" s="48" t="s">
        <v>22</v>
      </c>
      <c r="D121" s="45" t="s">
        <v>12</v>
      </c>
      <c r="E121" s="27" t="str">
        <f t="shared" ref="E121:AH121" si="578">IF(E116="P","01:00"," ")</f>
        <v xml:space="preserve"> </v>
      </c>
      <c r="F121" s="27" t="str">
        <f t="shared" ca="1" si="578"/>
        <v>01:00</v>
      </c>
      <c r="G121" s="27" t="str">
        <f t="shared" ca="1" si="578"/>
        <v>01:00</v>
      </c>
      <c r="H121" s="27" t="str">
        <f t="shared" ca="1" si="578"/>
        <v>01:00</v>
      </c>
      <c r="I121" s="27" t="str">
        <f t="shared" ca="1" si="578"/>
        <v>01:00</v>
      </c>
      <c r="J121" s="27" t="str">
        <f t="shared" ca="1" si="578"/>
        <v>01:00</v>
      </c>
      <c r="K121" s="27" t="str">
        <f t="shared" ca="1" si="578"/>
        <v>01:00</v>
      </c>
      <c r="L121" s="27" t="str">
        <f t="shared" si="578"/>
        <v xml:space="preserve"> </v>
      </c>
      <c r="M121" s="27" t="str">
        <f t="shared" ca="1" si="578"/>
        <v>01:00</v>
      </c>
      <c r="N121" s="27" t="str">
        <f t="shared" ca="1" si="578"/>
        <v>01:00</v>
      </c>
      <c r="O121" s="27" t="str">
        <f t="shared" ca="1" si="578"/>
        <v>01:00</v>
      </c>
      <c r="P121" s="27" t="str">
        <f t="shared" ca="1" si="578"/>
        <v>01:00</v>
      </c>
      <c r="Q121" s="27" t="str">
        <f t="shared" ca="1" si="578"/>
        <v>01:00</v>
      </c>
      <c r="R121" s="27" t="str">
        <f t="shared" ca="1" si="578"/>
        <v>01:00</v>
      </c>
      <c r="S121" s="27" t="str">
        <f t="shared" si="578"/>
        <v xml:space="preserve"> </v>
      </c>
      <c r="T121" s="27" t="str">
        <f t="shared" ca="1" si="578"/>
        <v>01:00</v>
      </c>
      <c r="U121" s="27" t="str">
        <f t="shared" ca="1" si="578"/>
        <v>01:00</v>
      </c>
      <c r="V121" s="27" t="str">
        <f t="shared" ca="1" si="578"/>
        <v>01:00</v>
      </c>
      <c r="W121" s="27" t="str">
        <f t="shared" ca="1" si="578"/>
        <v>01:00</v>
      </c>
      <c r="X121" s="27" t="str">
        <f t="shared" ca="1" si="578"/>
        <v>01:00</v>
      </c>
      <c r="Y121" s="27" t="str">
        <f t="shared" ca="1" si="578"/>
        <v>01:00</v>
      </c>
      <c r="Z121" s="27" t="str">
        <f t="shared" si="578"/>
        <v xml:space="preserve"> </v>
      </c>
      <c r="AA121" s="27" t="str">
        <f t="shared" ca="1" si="578"/>
        <v>01:00</v>
      </c>
      <c r="AB121" s="27" t="str">
        <f t="shared" ca="1" si="578"/>
        <v>01:00</v>
      </c>
      <c r="AC121" s="27" t="str">
        <f t="shared" ca="1" si="578"/>
        <v>01:00</v>
      </c>
      <c r="AD121" s="27" t="str">
        <f t="shared" ca="1" si="578"/>
        <v>01:00</v>
      </c>
      <c r="AE121" s="27" t="str">
        <f t="shared" ca="1" si="578"/>
        <v>01:00</v>
      </c>
      <c r="AF121" s="27" t="str">
        <f t="shared" ca="1" si="578"/>
        <v>01:00</v>
      </c>
      <c r="AG121" s="27" t="str">
        <f t="shared" si="578"/>
        <v xml:space="preserve"> </v>
      </c>
      <c r="AH121" s="27" t="str">
        <f t="shared" ca="1" si="578"/>
        <v>01:00</v>
      </c>
      <c r="AI121" s="27" t="str">
        <f t="shared" ca="1" si="531"/>
        <v>01:00</v>
      </c>
      <c r="AJ121" s="24" t="s">
        <v>11</v>
      </c>
      <c r="AK121" s="25"/>
      <c r="AL121" s="25"/>
      <c r="AM121" s="25"/>
      <c r="AN121" s="25"/>
      <c r="AO121" s="23" t="s">
        <v>22</v>
      </c>
    </row>
    <row r="122" spans="1:41" ht="15" x14ac:dyDescent="0.3">
      <c r="A122" s="26"/>
      <c r="B122" s="1" t="s">
        <v>22</v>
      </c>
      <c r="C122" s="48" t="s">
        <v>22</v>
      </c>
      <c r="D122" s="45" t="s">
        <v>11</v>
      </c>
      <c r="E122" s="27" t="str">
        <f t="shared" ref="E122:AH122" si="579">IF(E116="P",E119-E121," ")</f>
        <v xml:space="preserve"> </v>
      </c>
      <c r="F122" s="27">
        <f t="shared" ca="1" si="579"/>
        <v>0.2951388888888889</v>
      </c>
      <c r="G122" s="27">
        <f t="shared" ca="1" si="579"/>
        <v>0.30902777777777773</v>
      </c>
      <c r="H122" s="27">
        <f t="shared" ca="1" si="579"/>
        <v>0.30694444444444441</v>
      </c>
      <c r="I122" s="27">
        <f t="shared" ca="1" si="579"/>
        <v>0.3118055555555555</v>
      </c>
      <c r="J122" s="27">
        <f t="shared" ca="1" si="579"/>
        <v>0.29305555555555557</v>
      </c>
      <c r="K122" s="27">
        <f t="shared" ca="1" si="579"/>
        <v>0.31527777777777771</v>
      </c>
      <c r="L122" s="27" t="str">
        <f t="shared" si="579"/>
        <v xml:space="preserve"> </v>
      </c>
      <c r="M122" s="27">
        <f t="shared" ca="1" si="579"/>
        <v>0.31111111111111106</v>
      </c>
      <c r="N122" s="27">
        <f t="shared" ca="1" si="579"/>
        <v>0.29375000000000001</v>
      </c>
      <c r="O122" s="27">
        <f t="shared" ca="1" si="579"/>
        <v>0.30138888888888887</v>
      </c>
      <c r="P122" s="27">
        <f t="shared" ca="1" si="579"/>
        <v>0.29722222222222222</v>
      </c>
      <c r="Q122" s="27">
        <f t="shared" ca="1" si="579"/>
        <v>0.30416666666666664</v>
      </c>
      <c r="R122" s="27">
        <f t="shared" ca="1" si="579"/>
        <v>0.30555555555555552</v>
      </c>
      <c r="S122" s="27" t="str">
        <f t="shared" si="579"/>
        <v xml:space="preserve"> </v>
      </c>
      <c r="T122" s="27">
        <f t="shared" ca="1" si="579"/>
        <v>0.30277777777777776</v>
      </c>
      <c r="U122" s="27">
        <f t="shared" ca="1" si="579"/>
        <v>0.31874999999999992</v>
      </c>
      <c r="V122" s="27">
        <f t="shared" ca="1" si="579"/>
        <v>0.30208333333333331</v>
      </c>
      <c r="W122" s="27">
        <f t="shared" ca="1" si="579"/>
        <v>0.31736111111111104</v>
      </c>
      <c r="X122" s="27">
        <f t="shared" ca="1" si="579"/>
        <v>0.30972222222222218</v>
      </c>
      <c r="Y122" s="27">
        <f t="shared" ca="1" si="579"/>
        <v>0.29305555555555557</v>
      </c>
      <c r="Z122" s="27" t="str">
        <f t="shared" si="579"/>
        <v xml:space="preserve"> </v>
      </c>
      <c r="AA122" s="27">
        <f t="shared" ca="1" si="579"/>
        <v>0.3034722222222222</v>
      </c>
      <c r="AB122" s="27">
        <f t="shared" ca="1" si="579"/>
        <v>0.32222222222222213</v>
      </c>
      <c r="AC122" s="27">
        <f t="shared" ca="1" si="579"/>
        <v>0.31597222222222215</v>
      </c>
      <c r="AD122" s="27">
        <f t="shared" ca="1" si="579"/>
        <v>0.30486111111111108</v>
      </c>
      <c r="AE122" s="27">
        <f t="shared" ca="1" si="579"/>
        <v>0.31319444444444439</v>
      </c>
      <c r="AF122" s="27">
        <f t="shared" ca="1" si="579"/>
        <v>0.29583333333333334</v>
      </c>
      <c r="AG122" s="27" t="str">
        <f t="shared" si="579"/>
        <v xml:space="preserve"> </v>
      </c>
      <c r="AH122" s="27">
        <f t="shared" ca="1" si="579"/>
        <v>0.31041666666666662</v>
      </c>
      <c r="AI122" s="27">
        <f t="shared" ca="1" si="532"/>
        <v>0.2986111111111111</v>
      </c>
      <c r="AJ122" s="30">
        <f t="shared" ref="AJ122:AJ123" ca="1" si="580">SUM(E122:AH122)</f>
        <v>7.654166666666665</v>
      </c>
      <c r="AK122" s="25"/>
      <c r="AL122" s="25"/>
      <c r="AM122" s="25"/>
      <c r="AN122" s="25"/>
      <c r="AO122" s="23" t="s">
        <v>22</v>
      </c>
    </row>
    <row r="123" spans="1:41" ht="15.6" thickBot="1" x14ac:dyDescent="0.35">
      <c r="A123" s="31"/>
      <c r="B123" s="32" t="s">
        <v>22</v>
      </c>
      <c r="C123" s="49" t="s">
        <v>22</v>
      </c>
      <c r="D123" s="46" t="s">
        <v>20</v>
      </c>
      <c r="E123" s="33" t="str">
        <f t="shared" ref="E123:AH123" si="581">IF(E116="P",(IF(E120&gt;E122,0,E122-E120))," ")</f>
        <v xml:space="preserve"> </v>
      </c>
      <c r="F123" s="33">
        <f t="shared" ca="1" si="581"/>
        <v>0</v>
      </c>
      <c r="G123" s="33">
        <f t="shared" ca="1" si="581"/>
        <v>0</v>
      </c>
      <c r="H123" s="33">
        <f t="shared" ca="1" si="581"/>
        <v>0</v>
      </c>
      <c r="I123" s="33">
        <f t="shared" ca="1" si="581"/>
        <v>0</v>
      </c>
      <c r="J123" s="33">
        <f t="shared" ca="1" si="581"/>
        <v>0</v>
      </c>
      <c r="K123" s="33">
        <f t="shared" ca="1" si="581"/>
        <v>0</v>
      </c>
      <c r="L123" s="33" t="str">
        <f t="shared" si="581"/>
        <v xml:space="preserve"> </v>
      </c>
      <c r="M123" s="33">
        <f t="shared" ca="1" si="581"/>
        <v>0</v>
      </c>
      <c r="N123" s="33">
        <f t="shared" ca="1" si="581"/>
        <v>0</v>
      </c>
      <c r="O123" s="33">
        <f t="shared" ca="1" si="581"/>
        <v>0</v>
      </c>
      <c r="P123" s="33">
        <f t="shared" ca="1" si="581"/>
        <v>0</v>
      </c>
      <c r="Q123" s="33">
        <f t="shared" ca="1" si="581"/>
        <v>0</v>
      </c>
      <c r="R123" s="33">
        <f t="shared" ca="1" si="581"/>
        <v>0</v>
      </c>
      <c r="S123" s="33" t="str">
        <f t="shared" si="581"/>
        <v xml:space="preserve"> </v>
      </c>
      <c r="T123" s="33">
        <f t="shared" ca="1" si="581"/>
        <v>0</v>
      </c>
      <c r="U123" s="33">
        <f t="shared" ca="1" si="581"/>
        <v>0</v>
      </c>
      <c r="V123" s="33">
        <f t="shared" ca="1" si="581"/>
        <v>0</v>
      </c>
      <c r="W123" s="33">
        <f t="shared" ca="1" si="581"/>
        <v>0</v>
      </c>
      <c r="X123" s="33">
        <f t="shared" ca="1" si="581"/>
        <v>0</v>
      </c>
      <c r="Y123" s="33">
        <f t="shared" ca="1" si="581"/>
        <v>0</v>
      </c>
      <c r="Z123" s="33" t="str">
        <f t="shared" si="581"/>
        <v xml:space="preserve"> </v>
      </c>
      <c r="AA123" s="33">
        <f t="shared" ca="1" si="581"/>
        <v>0</v>
      </c>
      <c r="AB123" s="33">
        <f t="shared" ca="1" si="581"/>
        <v>0</v>
      </c>
      <c r="AC123" s="33">
        <f t="shared" ca="1" si="581"/>
        <v>0</v>
      </c>
      <c r="AD123" s="33">
        <f t="shared" ca="1" si="581"/>
        <v>0</v>
      </c>
      <c r="AE123" s="33">
        <f t="shared" ca="1" si="581"/>
        <v>0</v>
      </c>
      <c r="AF123" s="33">
        <f t="shared" ca="1" si="581"/>
        <v>0</v>
      </c>
      <c r="AG123" s="33" t="str">
        <f t="shared" si="581"/>
        <v xml:space="preserve"> </v>
      </c>
      <c r="AH123" s="33">
        <f t="shared" ca="1" si="581"/>
        <v>0</v>
      </c>
      <c r="AI123" s="33">
        <f t="shared" ca="1" si="534"/>
        <v>0</v>
      </c>
      <c r="AJ123" s="34">
        <f t="shared" ca="1" si="580"/>
        <v>0</v>
      </c>
      <c r="AK123" s="35"/>
      <c r="AL123" s="35"/>
      <c r="AM123" s="35"/>
      <c r="AN123" s="35"/>
      <c r="AO123" s="36" t="s">
        <v>22</v>
      </c>
    </row>
    <row r="124" spans="1:41" ht="15.6" thickBot="1" x14ac:dyDescent="0.35">
      <c r="A124" s="14"/>
      <c r="B124" s="15" t="s">
        <v>22</v>
      </c>
      <c r="C124" s="47" t="s">
        <v>22</v>
      </c>
      <c r="D124" s="37" t="s">
        <v>66</v>
      </c>
      <c r="E124" s="9">
        <f t="shared" ref="E124:T124" ca="1" si="582">IF(OR(E$5="",E$5=0),-2,IF(E$6=$D125,-1,RAND()))</f>
        <v>0.51293511986899543</v>
      </c>
      <c r="F124" s="9">
        <f t="shared" ca="1" si="582"/>
        <v>0.88968837005234946</v>
      </c>
      <c r="G124" s="9">
        <f t="shared" ca="1" si="582"/>
        <v>0.34752545378434097</v>
      </c>
      <c r="H124" s="9">
        <f t="shared" ca="1" si="582"/>
        <v>0.12676205854027911</v>
      </c>
      <c r="I124" s="9">
        <f t="shared" ca="1" si="582"/>
        <v>-1</v>
      </c>
      <c r="J124" s="9">
        <f t="shared" ca="1" si="582"/>
        <v>0.68871228583236266</v>
      </c>
      <c r="K124" s="9">
        <f t="shared" ca="1" si="582"/>
        <v>0.72754776254794307</v>
      </c>
      <c r="L124" s="9">
        <f t="shared" ca="1" si="582"/>
        <v>0.79420478196997257</v>
      </c>
      <c r="M124" s="9">
        <f t="shared" ca="1" si="582"/>
        <v>0.80646499249211523</v>
      </c>
      <c r="N124" s="9">
        <f t="shared" ca="1" si="582"/>
        <v>8.5191092243642963E-2</v>
      </c>
      <c r="O124" s="9">
        <f t="shared" ca="1" si="582"/>
        <v>0.37163612228507581</v>
      </c>
      <c r="P124" s="9">
        <f t="shared" ca="1" si="582"/>
        <v>-1</v>
      </c>
      <c r="Q124" s="9">
        <f t="shared" ca="1" si="582"/>
        <v>0.26540974353083546</v>
      </c>
      <c r="R124" s="9">
        <f t="shared" ca="1" si="582"/>
        <v>0.55202160540990386</v>
      </c>
      <c r="S124" s="9">
        <f t="shared" ca="1" si="582"/>
        <v>0.7610265577553087</v>
      </c>
      <c r="T124" s="9">
        <f t="shared" ca="1" si="582"/>
        <v>0.65106095537815756</v>
      </c>
      <c r="U124" s="9">
        <f t="shared" ref="U124:AI124" ca="1" si="583">IF(OR(U$5="",U$5=0),-2,IF(U$6=$D125,-1,RAND()))</f>
        <v>0.5011716219741571</v>
      </c>
      <c r="V124" s="9">
        <f t="shared" ca="1" si="583"/>
        <v>5.5196274713457116E-3</v>
      </c>
      <c r="W124" s="9">
        <f t="shared" ca="1" si="583"/>
        <v>-1</v>
      </c>
      <c r="X124" s="9">
        <f t="shared" ca="1" si="583"/>
        <v>0.56161101784574463</v>
      </c>
      <c r="Y124" s="9">
        <f t="shared" ca="1" si="583"/>
        <v>0.65732374207090472</v>
      </c>
      <c r="Z124" s="9">
        <f t="shared" ca="1" si="583"/>
        <v>0.89517414119155925</v>
      </c>
      <c r="AA124" s="9">
        <f t="shared" ca="1" si="583"/>
        <v>0.7279770658257928</v>
      </c>
      <c r="AB124" s="9">
        <f t="shared" ca="1" si="583"/>
        <v>0.62036947548858079</v>
      </c>
      <c r="AC124" s="9">
        <f t="shared" ca="1" si="583"/>
        <v>5.7212211601193275E-2</v>
      </c>
      <c r="AD124" s="9">
        <f t="shared" ca="1" si="583"/>
        <v>-1</v>
      </c>
      <c r="AE124" s="9">
        <f t="shared" ca="1" si="583"/>
        <v>0.83344162375591058</v>
      </c>
      <c r="AF124" s="9">
        <f t="shared" ca="1" si="583"/>
        <v>7.0971199033589394E-2</v>
      </c>
      <c r="AG124" s="9">
        <f t="shared" ca="1" si="583"/>
        <v>0.70032413784117786</v>
      </c>
      <c r="AH124" s="9">
        <f t="shared" ca="1" si="583"/>
        <v>0.70595068173894426</v>
      </c>
      <c r="AI124" s="9">
        <f t="shared" ca="1" si="583"/>
        <v>0.13333873141468033</v>
      </c>
      <c r="AJ124" s="38"/>
      <c r="AK124" s="37"/>
      <c r="AL124" s="37"/>
      <c r="AM124" s="37"/>
      <c r="AN124" s="37"/>
      <c r="AO124" s="39" t="s">
        <v>22</v>
      </c>
    </row>
    <row r="125" spans="1:41" ht="15.6" thickBot="1" x14ac:dyDescent="0.35">
      <c r="A125" s="42"/>
      <c r="B125" s="44" t="s">
        <v>35</v>
      </c>
      <c r="C125" s="43" t="s">
        <v>57</v>
      </c>
      <c r="D125" s="37" t="s">
        <v>70</v>
      </c>
      <c r="E125" s="9" t="str">
        <f t="shared" ref="E125" ca="1" si="584">IF(OR(E$5="",E$5=0),"",IF(E$6=$D125,"W",IF(_xlfn.RANK.EQ(E124,$E124:$AI124,0)&lt;=INT($AO125),"P",IF(AND(_xlfn.RANK.EQ(E124,$E124:$AI124,0)=INT($AO125)+1,MOD($AO125,1)=0.5),"H","A"))))</f>
        <v>P</v>
      </c>
      <c r="F125" s="9" t="str">
        <f t="shared" ref="F125" ca="1" si="585">IF(OR(F$5="",F$5=0),"",IF(F$6=$D125,"W",IF(_xlfn.RANK.EQ(F124,$E124:$AI124,0)&lt;=INT($AO125),"P",IF(AND(_xlfn.RANK.EQ(F124,$E124:$AI124,0)=INT($AO125)+1,MOD($AO125,1)=0.5),"H","A"))))</f>
        <v>P</v>
      </c>
      <c r="G125" s="9" t="str">
        <f t="shared" ref="G125" ca="1" si="586">IF(OR(G$5="",G$5=0),"",IF(G$6=$D125,"W",IF(_xlfn.RANK.EQ(G124,$E124:$AI124,0)&lt;=INT($AO125),"P",IF(AND(_xlfn.RANK.EQ(G124,$E124:$AI124,0)=INT($AO125)+1,MOD($AO125,1)=0.5),"H","A"))))</f>
        <v>A</v>
      </c>
      <c r="H125" s="9" t="str">
        <f t="shared" ref="H125" ca="1" si="587">IF(OR(H$5="",H$5=0),"",IF(H$6=$D125,"W",IF(_xlfn.RANK.EQ(H124,$E124:$AI124,0)&lt;=INT($AO125),"P",IF(AND(_xlfn.RANK.EQ(H124,$E124:$AI124,0)=INT($AO125)+1,MOD($AO125,1)=0.5),"H","A"))))</f>
        <v>A</v>
      </c>
      <c r="I125" s="9" t="str">
        <f t="shared" ref="I125" si="588">IF(OR(I$5="",I$5=0),"",IF(I$6=$D125,"W",IF(_xlfn.RANK.EQ(I124,$E124:$AI124,0)&lt;=INT($AO125),"P",IF(AND(_xlfn.RANK.EQ(I124,$E124:$AI124,0)=INT($AO125)+1,MOD($AO125,1)=0.5),"H","A"))))</f>
        <v>W</v>
      </c>
      <c r="J125" s="9" t="str">
        <f t="shared" ref="J125" ca="1" si="589">IF(OR(J$5="",J$5=0),"",IF(J$6=$D125,"W",IF(_xlfn.RANK.EQ(J124,$E124:$AI124,0)&lt;=INT($AO125),"P",IF(AND(_xlfn.RANK.EQ(J124,$E124:$AI124,0)=INT($AO125)+1,MOD($AO125,1)=0.5),"H","A"))))</f>
        <v>P</v>
      </c>
      <c r="K125" s="9" t="str">
        <f t="shared" ref="K125" ca="1" si="590">IF(OR(K$5="",K$5=0),"",IF(K$6=$D125,"W",IF(_xlfn.RANK.EQ(K124,$E124:$AI124,0)&lt;=INT($AO125),"P",IF(AND(_xlfn.RANK.EQ(K124,$E124:$AI124,0)=INT($AO125)+1,MOD($AO125,1)=0.5),"H","A"))))</f>
        <v>P</v>
      </c>
      <c r="L125" s="9" t="str">
        <f t="shared" ref="L125" ca="1" si="591">IF(OR(L$5="",L$5=0),"",IF(L$6=$D125,"W",IF(_xlfn.RANK.EQ(L124,$E124:$AI124,0)&lt;=INT($AO125),"P",IF(AND(_xlfn.RANK.EQ(L124,$E124:$AI124,0)=INT($AO125)+1,MOD($AO125,1)=0.5),"H","A"))))</f>
        <v>P</v>
      </c>
      <c r="M125" s="9" t="str">
        <f t="shared" ref="M125" ca="1" si="592">IF(OR(M$5="",M$5=0),"",IF(M$6=$D125,"W",IF(_xlfn.RANK.EQ(M124,$E124:$AI124,0)&lt;=INT($AO125),"P",IF(AND(_xlfn.RANK.EQ(M124,$E124:$AI124,0)=INT($AO125)+1,MOD($AO125,1)=0.5),"H","A"))))</f>
        <v>P</v>
      </c>
      <c r="N125" s="9" t="str">
        <f t="shared" ref="N125" ca="1" si="593">IF(OR(N$5="",N$5=0),"",IF(N$6=$D125,"W",IF(_xlfn.RANK.EQ(N124,$E124:$AI124,0)&lt;=INT($AO125),"P",IF(AND(_xlfn.RANK.EQ(N124,$E124:$AI124,0)=INT($AO125)+1,MOD($AO125,1)=0.5),"H","A"))))</f>
        <v>A</v>
      </c>
      <c r="O125" s="9" t="str">
        <f t="shared" ref="O125" ca="1" si="594">IF(OR(O$5="",O$5=0),"",IF(O$6=$D125,"W",IF(_xlfn.RANK.EQ(O124,$E124:$AI124,0)&lt;=INT($AO125),"P",IF(AND(_xlfn.RANK.EQ(O124,$E124:$AI124,0)=INT($AO125)+1,MOD($AO125,1)=0.5),"H","A"))))</f>
        <v>A</v>
      </c>
      <c r="P125" s="9" t="str">
        <f t="shared" ref="P125" si="595">IF(OR(P$5="",P$5=0),"",IF(P$6=$D125,"W",IF(_xlfn.RANK.EQ(P124,$E124:$AI124,0)&lt;=INT($AO125),"P",IF(AND(_xlfn.RANK.EQ(P124,$E124:$AI124,0)=INT($AO125)+1,MOD($AO125,1)=0.5),"H","A"))))</f>
        <v>W</v>
      </c>
      <c r="Q125" s="9" t="str">
        <f t="shared" ref="Q125" ca="1" si="596">IF(OR(Q$5="",Q$5=0),"",IF(Q$6=$D125,"W",IF(_xlfn.RANK.EQ(Q124,$E124:$AI124,0)&lt;=INT($AO125),"P",IF(AND(_xlfn.RANK.EQ(Q124,$E124:$AI124,0)=INT($AO125)+1,MOD($AO125,1)=0.5),"H","A"))))</f>
        <v>A</v>
      </c>
      <c r="R125" s="9" t="str">
        <f t="shared" ref="R125" ca="1" si="597">IF(OR(R$5="",R$5=0),"",IF(R$6=$D125,"W",IF(_xlfn.RANK.EQ(R124,$E124:$AI124,0)&lt;=INT($AO125),"P",IF(AND(_xlfn.RANK.EQ(R124,$E124:$AI124,0)=INT($AO125)+1,MOD($AO125,1)=0.5),"H","A"))))</f>
        <v>P</v>
      </c>
      <c r="S125" s="9" t="str">
        <f t="shared" ref="S125" ca="1" si="598">IF(OR(S$5="",S$5=0),"",IF(S$6=$D125,"W",IF(_xlfn.RANK.EQ(S124,$E124:$AI124,0)&lt;=INT($AO125),"P",IF(AND(_xlfn.RANK.EQ(S124,$E124:$AI124,0)=INT($AO125)+1,MOD($AO125,1)=0.5),"H","A"))))</f>
        <v>P</v>
      </c>
      <c r="T125" s="9" t="str">
        <f t="shared" ref="T125" ca="1" si="599">IF(OR(T$5="",T$5=0),"",IF(T$6=$D125,"W",IF(_xlfn.RANK.EQ(T124,$E124:$AI124,0)&lt;=INT($AO125),"P",IF(AND(_xlfn.RANK.EQ(T124,$E124:$AI124,0)=INT($AO125)+1,MOD($AO125,1)=0.5),"H","A"))))</f>
        <v>P</v>
      </c>
      <c r="U125" s="9" t="str">
        <f t="shared" ref="U125" ca="1" si="600">IF(OR(U$5="",U$5=0),"",IF(U$6=$D125,"W",IF(_xlfn.RANK.EQ(U124,$E124:$AI124,0)&lt;=INT($AO125),"P",IF(AND(_xlfn.RANK.EQ(U124,$E124:$AI124,0)=INT($AO125)+1,MOD($AO125,1)=0.5),"H","A"))))</f>
        <v>P</v>
      </c>
      <c r="V125" s="9" t="str">
        <f t="shared" ref="V125" ca="1" si="601">IF(OR(V$5="",V$5=0),"",IF(V$6=$D125,"W",IF(_xlfn.RANK.EQ(V124,$E124:$AI124,0)&lt;=INT($AO125),"P",IF(AND(_xlfn.RANK.EQ(V124,$E124:$AI124,0)=INT($AO125)+1,MOD($AO125,1)=0.5),"H","A"))))</f>
        <v>A</v>
      </c>
      <c r="W125" s="9" t="str">
        <f t="shared" ref="W125" si="602">IF(OR(W$5="",W$5=0),"",IF(W$6=$D125,"W",IF(_xlfn.RANK.EQ(W124,$E124:$AI124,0)&lt;=INT($AO125),"P",IF(AND(_xlfn.RANK.EQ(W124,$E124:$AI124,0)=INT($AO125)+1,MOD($AO125,1)=0.5),"H","A"))))</f>
        <v>W</v>
      </c>
      <c r="X125" s="9" t="str">
        <f t="shared" ref="X125" ca="1" si="603">IF(OR(X$5="",X$5=0),"",IF(X$6=$D125,"W",IF(_xlfn.RANK.EQ(X124,$E124:$AI124,0)&lt;=INT($AO125),"P",IF(AND(_xlfn.RANK.EQ(X124,$E124:$AI124,0)=INT($AO125)+1,MOD($AO125,1)=0.5),"H","A"))))</f>
        <v>P</v>
      </c>
      <c r="Y125" s="9" t="str">
        <f t="shared" ref="Y125" ca="1" si="604">IF(OR(Y$5="",Y$5=0),"",IF(Y$6=$D125,"W",IF(_xlfn.RANK.EQ(Y124,$E124:$AI124,0)&lt;=INT($AO125),"P",IF(AND(_xlfn.RANK.EQ(Y124,$E124:$AI124,0)=INT($AO125)+1,MOD($AO125,1)=0.5),"H","A"))))</f>
        <v>P</v>
      </c>
      <c r="Z125" s="9" t="str">
        <f t="shared" ref="Z125" ca="1" si="605">IF(OR(Z$5="",Z$5=0),"",IF(Z$6=$D125,"W",IF(_xlfn.RANK.EQ(Z124,$E124:$AI124,0)&lt;=INT($AO125),"P",IF(AND(_xlfn.RANK.EQ(Z124,$E124:$AI124,0)=INT($AO125)+1,MOD($AO125,1)=0.5),"H","A"))))</f>
        <v>P</v>
      </c>
      <c r="AA125" s="9" t="str">
        <f t="shared" ref="AA125" ca="1" si="606">IF(OR(AA$5="",AA$5=0),"",IF(AA$6=$D125,"W",IF(_xlfn.RANK.EQ(AA124,$E124:$AI124,0)&lt;=INT($AO125),"P",IF(AND(_xlfn.RANK.EQ(AA124,$E124:$AI124,0)=INT($AO125)+1,MOD($AO125,1)=0.5),"H","A"))))</f>
        <v>P</v>
      </c>
      <c r="AB125" s="9" t="str">
        <f t="shared" ref="AB125" ca="1" si="607">IF(OR(AB$5="",AB$5=0),"",IF(AB$6=$D125,"W",IF(_xlfn.RANK.EQ(AB124,$E124:$AI124,0)&lt;=INT($AO125),"P",IF(AND(_xlfn.RANK.EQ(AB124,$E124:$AI124,0)=INT($AO125)+1,MOD($AO125,1)=0.5),"H","A"))))</f>
        <v>P</v>
      </c>
      <c r="AC125" s="9" t="str">
        <f t="shared" ref="AC125" ca="1" si="608">IF(OR(AC$5="",AC$5=0),"",IF(AC$6=$D125,"W",IF(_xlfn.RANK.EQ(AC124,$E124:$AI124,0)&lt;=INT($AO125),"P",IF(AND(_xlfn.RANK.EQ(AC124,$E124:$AI124,0)=INT($AO125)+1,MOD($AO125,1)=0.5),"H","A"))))</f>
        <v>A</v>
      </c>
      <c r="AD125" s="9" t="str">
        <f t="shared" ref="AD125" si="609">IF(OR(AD$5="",AD$5=0),"",IF(AD$6=$D125,"W",IF(_xlfn.RANK.EQ(AD124,$E124:$AI124,0)&lt;=INT($AO125),"P",IF(AND(_xlfn.RANK.EQ(AD124,$E124:$AI124,0)=INT($AO125)+1,MOD($AO125,1)=0.5),"H","A"))))</f>
        <v>W</v>
      </c>
      <c r="AE125" s="9" t="str">
        <f t="shared" ref="AE125" ca="1" si="610">IF(OR(AE$5="",AE$5=0),"",IF(AE$6=$D125,"W",IF(_xlfn.RANK.EQ(AE124,$E124:$AI124,0)&lt;=INT($AO125),"P",IF(AND(_xlfn.RANK.EQ(AE124,$E124:$AI124,0)=INT($AO125)+1,MOD($AO125,1)=0.5),"H","A"))))</f>
        <v>P</v>
      </c>
      <c r="AF125" s="9" t="str">
        <f t="shared" ref="AF125" ca="1" si="611">IF(OR(AF$5="",AF$5=0),"",IF(AF$6=$D125,"W",IF(_xlfn.RANK.EQ(AF124,$E124:$AI124,0)&lt;=INT($AO125),"P",IF(AND(_xlfn.RANK.EQ(AF124,$E124:$AI124,0)=INT($AO125)+1,MOD($AO125,1)=0.5),"H","A"))))</f>
        <v>A</v>
      </c>
      <c r="AG125" s="9" t="str">
        <f t="shared" ref="AG125" ca="1" si="612">IF(OR(AG$5="",AG$5=0),"",IF(AG$6=$D125,"W",IF(_xlfn.RANK.EQ(AG124,$E124:$AI124,0)&lt;=INT($AO125),"P",IF(AND(_xlfn.RANK.EQ(AG124,$E124:$AI124,0)=INT($AO125)+1,MOD($AO125,1)=0.5),"H","A"))))</f>
        <v>P</v>
      </c>
      <c r="AH125" s="9" t="str">
        <f t="shared" ref="AH125" ca="1" si="613">IF(OR(AH$5="",AH$5=0),"",IF(AH$6=$D125,"W",IF(_xlfn.RANK.EQ(AH124,$E124:$AI124,0)&lt;=INT($AO125),"P",IF(AND(_xlfn.RANK.EQ(AH124,$E124:$AI124,0)=INT($AO125)+1,MOD($AO125,1)=0.5),"H","A"))))</f>
        <v>P</v>
      </c>
      <c r="AI125" s="9" t="str">
        <f t="shared" ref="AI125" ca="1" si="614">IF(OR(AI$5="",AI$5=0),"",IF(AI$6=$D125,"W",IF(_xlfn.RANK.EQ(AI124,$E124:$AI124,0)&lt;=INT($AO125),"P",IF(AND(_xlfn.RANK.EQ(AI124,$E124:$AI124,0)=INT($AO125)+1,MOD($AO125,1)=0.5),"H","A"))))</f>
        <v>A</v>
      </c>
      <c r="AJ125" s="16">
        <f t="shared" ref="AJ125" ca="1" si="615">COUNTIF(E125:AI125, "P")</f>
        <v>18</v>
      </c>
      <c r="AK125" s="17">
        <f t="shared" ref="AK125" ca="1" si="616">COUNTIF(E125:AH125, "A")</f>
        <v>8</v>
      </c>
      <c r="AL125" s="17">
        <f t="shared" ref="AL125" ca="1" si="617">COUNTIF(E125:AH125, "W")</f>
        <v>4</v>
      </c>
      <c r="AM125" s="17">
        <f t="shared" ref="AM125" ca="1" si="618">COUNTIF(E125:AH125, "H")</f>
        <v>0</v>
      </c>
      <c r="AN125" s="17">
        <f t="shared" ref="AN125" ca="1" si="619">COUNTIF(E125:AH125, "PL")</f>
        <v>0</v>
      </c>
      <c r="AO125" s="18">
        <v>18</v>
      </c>
    </row>
    <row r="126" spans="1:41" ht="15" x14ac:dyDescent="0.3">
      <c r="A126" s="19"/>
      <c r="B126" s="1" t="s">
        <v>22</v>
      </c>
      <c r="C126" s="48" t="s">
        <v>22</v>
      </c>
      <c r="D126" s="45" t="s">
        <v>1</v>
      </c>
      <c r="E126" s="20" t="str">
        <f t="shared" ref="E126:AI135" ca="1" si="620">IF(E125="P", IF($D124="G", TEXT(RAND()*(9.27-9.62)/24+9.62/24,"HH:MM"), IF($D124="A", TEXT(RAND()*(8.06-8.1)/24+8.15/24,"HH:MM"), IF($D124="B", TEXT(RAND()*(16.06-16.1)/24+16.15/24,"HH:MM"), IF($D124="C", TEXT(RAND()*(24.85-24.13)/24+24.13/24,"HH:MM"), " ")))), "")</f>
        <v>00:37</v>
      </c>
      <c r="F126" s="20" t="str">
        <f t="shared" ca="1" si="620"/>
        <v>00:49</v>
      </c>
      <c r="G126" s="20" t="str">
        <f t="shared" ca="1" si="620"/>
        <v/>
      </c>
      <c r="H126" s="20" t="str">
        <f t="shared" ca="1" si="620"/>
        <v/>
      </c>
      <c r="I126" s="20" t="str">
        <f t="shared" ca="1" si="620"/>
        <v/>
      </c>
      <c r="J126" s="20" t="str">
        <f t="shared" ca="1" si="620"/>
        <v>00:39</v>
      </c>
      <c r="K126" s="20" t="str">
        <f t="shared" ca="1" si="620"/>
        <v>00:18</v>
      </c>
      <c r="L126" s="20" t="str">
        <f t="shared" ca="1" si="620"/>
        <v>00:44</v>
      </c>
      <c r="M126" s="20" t="str">
        <f t="shared" ca="1" si="620"/>
        <v>00:13</v>
      </c>
      <c r="N126" s="20" t="str">
        <f t="shared" ca="1" si="620"/>
        <v/>
      </c>
      <c r="O126" s="20" t="str">
        <f t="shared" ca="1" si="620"/>
        <v/>
      </c>
      <c r="P126" s="20" t="str">
        <f t="shared" ca="1" si="620"/>
        <v/>
      </c>
      <c r="Q126" s="20" t="str">
        <f t="shared" ca="1" si="620"/>
        <v/>
      </c>
      <c r="R126" s="20" t="str">
        <f t="shared" ca="1" si="620"/>
        <v>00:19</v>
      </c>
      <c r="S126" s="20" t="str">
        <f t="shared" ca="1" si="620"/>
        <v>00:22</v>
      </c>
      <c r="T126" s="20" t="str">
        <f t="shared" ca="1" si="620"/>
        <v>00:09</v>
      </c>
      <c r="U126" s="20" t="str">
        <f t="shared" ca="1" si="620"/>
        <v>00:16</v>
      </c>
      <c r="V126" s="20" t="str">
        <f t="shared" ca="1" si="620"/>
        <v/>
      </c>
      <c r="W126" s="20" t="str">
        <f t="shared" ca="1" si="620"/>
        <v/>
      </c>
      <c r="X126" s="20" t="str">
        <f t="shared" ca="1" si="620"/>
        <v>00:36</v>
      </c>
      <c r="Y126" s="20" t="str">
        <f t="shared" ca="1" si="620"/>
        <v>00:29</v>
      </c>
      <c r="Z126" s="20" t="str">
        <f t="shared" ca="1" si="620"/>
        <v>00:21</v>
      </c>
      <c r="AA126" s="20" t="str">
        <f t="shared" ca="1" si="620"/>
        <v>00:44</v>
      </c>
      <c r="AB126" s="20" t="str">
        <f t="shared" ca="1" si="620"/>
        <v>00:23</v>
      </c>
      <c r="AC126" s="20" t="str">
        <f t="shared" ca="1" si="620"/>
        <v/>
      </c>
      <c r="AD126" s="20" t="str">
        <f t="shared" ca="1" si="620"/>
        <v/>
      </c>
      <c r="AE126" s="20" t="str">
        <f t="shared" ca="1" si="620"/>
        <v>00:19</v>
      </c>
      <c r="AF126" s="20" t="str">
        <f t="shared" ca="1" si="620"/>
        <v/>
      </c>
      <c r="AG126" s="20" t="str">
        <f t="shared" ca="1" si="620"/>
        <v>00:27</v>
      </c>
      <c r="AH126" s="20" t="str">
        <f t="shared" ca="1" si="620"/>
        <v>00:46</v>
      </c>
      <c r="AI126" s="20" t="str">
        <f t="shared" ca="1" si="620"/>
        <v/>
      </c>
      <c r="AJ126" s="21"/>
      <c r="AK126" s="22"/>
      <c r="AL126" s="22"/>
      <c r="AM126" s="22"/>
      <c r="AN126" s="22"/>
      <c r="AO126" s="23" t="s">
        <v>22</v>
      </c>
    </row>
    <row r="127" spans="1:41" ht="15" x14ac:dyDescent="0.3">
      <c r="A127" s="19"/>
      <c r="B127" s="1" t="s">
        <v>22</v>
      </c>
      <c r="C127" s="48" t="s">
        <v>22</v>
      </c>
      <c r="D127" s="45" t="s">
        <v>2</v>
      </c>
      <c r="E127" s="20" t="str">
        <f t="shared" ref="E127:AI136" ca="1" si="621">IF(E125="P", IF($D124="G", TEXT(RAND()*(18.85-18.13)/24+18.13/24,"HH:MM"), IF($D124="A", TEXT(RAND()*(16.85-16.13)/24+16.13/24,"HH:MM"), IF($D124="B", TEXT(RAND()*(24.85-24.13)/24+24.13/24,"HH:MM"), IF($D124="C", TEXT(RAND()*(8.85-8.13)/24+8.13/24,"HH:MM"), " ")))), "")</f>
        <v>08:35</v>
      </c>
      <c r="F127" s="20" t="str">
        <f t="shared" ca="1" si="621"/>
        <v>08:48</v>
      </c>
      <c r="G127" s="20" t="str">
        <f t="shared" ca="1" si="621"/>
        <v/>
      </c>
      <c r="H127" s="20" t="str">
        <f t="shared" ca="1" si="621"/>
        <v/>
      </c>
      <c r="I127" s="20" t="str">
        <f t="shared" ca="1" si="621"/>
        <v/>
      </c>
      <c r="J127" s="20" t="str">
        <f t="shared" ca="1" si="621"/>
        <v>08:27</v>
      </c>
      <c r="K127" s="20" t="str">
        <f t="shared" ca="1" si="621"/>
        <v>08:15</v>
      </c>
      <c r="L127" s="20" t="str">
        <f t="shared" ca="1" si="621"/>
        <v>08:44</v>
      </c>
      <c r="M127" s="20" t="str">
        <f t="shared" ca="1" si="621"/>
        <v>08:17</v>
      </c>
      <c r="N127" s="20" t="str">
        <f t="shared" ca="1" si="621"/>
        <v/>
      </c>
      <c r="O127" s="20" t="str">
        <f t="shared" ca="1" si="621"/>
        <v/>
      </c>
      <c r="P127" s="20" t="str">
        <f t="shared" ca="1" si="621"/>
        <v/>
      </c>
      <c r="Q127" s="20" t="str">
        <f t="shared" ca="1" si="621"/>
        <v/>
      </c>
      <c r="R127" s="20" t="str">
        <f t="shared" ca="1" si="621"/>
        <v>08:48</v>
      </c>
      <c r="S127" s="20" t="str">
        <f t="shared" ca="1" si="621"/>
        <v>08:33</v>
      </c>
      <c r="T127" s="20" t="str">
        <f t="shared" ca="1" si="621"/>
        <v>08:19</v>
      </c>
      <c r="U127" s="20" t="str">
        <f t="shared" ca="1" si="621"/>
        <v>08:46</v>
      </c>
      <c r="V127" s="20" t="str">
        <f t="shared" ca="1" si="621"/>
        <v/>
      </c>
      <c r="W127" s="20" t="str">
        <f t="shared" ca="1" si="621"/>
        <v/>
      </c>
      <c r="X127" s="20" t="str">
        <f t="shared" ca="1" si="621"/>
        <v>08:15</v>
      </c>
      <c r="Y127" s="20" t="str">
        <f t="shared" ca="1" si="621"/>
        <v>08:34</v>
      </c>
      <c r="Z127" s="20" t="str">
        <f t="shared" ca="1" si="621"/>
        <v>08:48</v>
      </c>
      <c r="AA127" s="20" t="str">
        <f t="shared" ca="1" si="621"/>
        <v>08:45</v>
      </c>
      <c r="AB127" s="20" t="str">
        <f t="shared" ca="1" si="621"/>
        <v>08:31</v>
      </c>
      <c r="AC127" s="20" t="str">
        <f t="shared" ca="1" si="621"/>
        <v/>
      </c>
      <c r="AD127" s="20" t="str">
        <f t="shared" ca="1" si="621"/>
        <v/>
      </c>
      <c r="AE127" s="20" t="str">
        <f t="shared" ca="1" si="621"/>
        <v>08:35</v>
      </c>
      <c r="AF127" s="20" t="str">
        <f t="shared" ca="1" si="621"/>
        <v/>
      </c>
      <c r="AG127" s="20" t="str">
        <f t="shared" ca="1" si="621"/>
        <v>08:38</v>
      </c>
      <c r="AH127" s="20" t="str">
        <f t="shared" ca="1" si="621"/>
        <v>08:10</v>
      </c>
      <c r="AI127" s="20" t="str">
        <f t="shared" ca="1" si="621"/>
        <v/>
      </c>
      <c r="AJ127" s="24" t="s">
        <v>13</v>
      </c>
      <c r="AK127" s="25"/>
      <c r="AL127" s="25"/>
      <c r="AM127" s="25"/>
      <c r="AN127" s="25"/>
      <c r="AO127" s="23" t="s">
        <v>22</v>
      </c>
    </row>
    <row r="128" spans="1:41" ht="15" x14ac:dyDescent="0.3">
      <c r="A128" s="26"/>
      <c r="B128" s="1" t="s">
        <v>22</v>
      </c>
      <c r="C128" s="48" t="s">
        <v>22</v>
      </c>
      <c r="D128" s="45" t="s">
        <v>14</v>
      </c>
      <c r="E128" s="27">
        <f t="shared" ref="E128:AI137" ca="1" si="622">IF(E125="P", MOD(E127-E126, 1), " ")</f>
        <v>0.33194444444444443</v>
      </c>
      <c r="F128" s="27">
        <f t="shared" ca="1" si="622"/>
        <v>0.33263888888888887</v>
      </c>
      <c r="G128" s="27" t="str">
        <f t="shared" ca="1" si="622"/>
        <v xml:space="preserve"> </v>
      </c>
      <c r="H128" s="27" t="str">
        <f t="shared" ca="1" si="622"/>
        <v xml:space="preserve"> </v>
      </c>
      <c r="I128" s="27" t="str">
        <f t="shared" si="622"/>
        <v xml:space="preserve"> </v>
      </c>
      <c r="J128" s="27">
        <f t="shared" ca="1" si="622"/>
        <v>0.32500000000000001</v>
      </c>
      <c r="K128" s="27">
        <f t="shared" ca="1" si="622"/>
        <v>0.33124999999999999</v>
      </c>
      <c r="L128" s="27">
        <f t="shared" ca="1" si="622"/>
        <v>0.33333333333333331</v>
      </c>
      <c r="M128" s="27">
        <f t="shared" ca="1" si="622"/>
        <v>0.33611111111111108</v>
      </c>
      <c r="N128" s="27" t="str">
        <f t="shared" ca="1" si="622"/>
        <v xml:space="preserve"> </v>
      </c>
      <c r="O128" s="27" t="str">
        <f t="shared" ca="1" si="622"/>
        <v xml:space="preserve"> </v>
      </c>
      <c r="P128" s="27" t="str">
        <f t="shared" si="622"/>
        <v xml:space="preserve"> </v>
      </c>
      <c r="Q128" s="27" t="str">
        <f t="shared" ca="1" si="622"/>
        <v xml:space="preserve"> </v>
      </c>
      <c r="R128" s="27">
        <f t="shared" ca="1" si="622"/>
        <v>0.35347222222222219</v>
      </c>
      <c r="S128" s="27">
        <f t="shared" ca="1" si="622"/>
        <v>0.34097222222222223</v>
      </c>
      <c r="T128" s="27">
        <f t="shared" ca="1" si="622"/>
        <v>0.34027777777777779</v>
      </c>
      <c r="U128" s="27">
        <f t="shared" ca="1" si="622"/>
        <v>0.35416666666666663</v>
      </c>
      <c r="V128" s="27" t="str">
        <f t="shared" ca="1" si="622"/>
        <v xml:space="preserve"> </v>
      </c>
      <c r="W128" s="27" t="str">
        <f t="shared" si="622"/>
        <v xml:space="preserve"> </v>
      </c>
      <c r="X128" s="27">
        <f t="shared" ca="1" si="622"/>
        <v>0.31874999999999998</v>
      </c>
      <c r="Y128" s="27">
        <f t="shared" ca="1" si="622"/>
        <v>0.33680555555555558</v>
      </c>
      <c r="Z128" s="27">
        <f t="shared" ca="1" si="622"/>
        <v>0.3520833333333333</v>
      </c>
      <c r="AA128" s="27">
        <f t="shared" ca="1" si="622"/>
        <v>0.33402777777777776</v>
      </c>
      <c r="AB128" s="27">
        <f t="shared" ca="1" si="622"/>
        <v>0.33888888888888891</v>
      </c>
      <c r="AC128" s="27" t="str">
        <f t="shared" ca="1" si="622"/>
        <v xml:space="preserve"> </v>
      </c>
      <c r="AD128" s="27" t="str">
        <f t="shared" si="622"/>
        <v xml:space="preserve"> </v>
      </c>
      <c r="AE128" s="27">
        <f t="shared" ca="1" si="622"/>
        <v>0.34444444444444444</v>
      </c>
      <c r="AF128" s="27" t="str">
        <f t="shared" ca="1" si="622"/>
        <v xml:space="preserve"> </v>
      </c>
      <c r="AG128" s="27">
        <f t="shared" ca="1" si="622"/>
        <v>0.34097222222222223</v>
      </c>
      <c r="AH128" s="27">
        <f t="shared" ca="1" si="622"/>
        <v>0.30833333333333335</v>
      </c>
      <c r="AI128" s="27" t="str">
        <f t="shared" ca="1" si="622"/>
        <v xml:space="preserve"> </v>
      </c>
      <c r="AJ128" s="28">
        <f t="shared" ref="AJ128" ca="1" si="623">AJ125*8</f>
        <v>144</v>
      </c>
      <c r="AK128" s="29"/>
      <c r="AL128" s="29"/>
      <c r="AM128" s="29"/>
      <c r="AN128" s="29"/>
      <c r="AO128" s="23" t="s">
        <v>22</v>
      </c>
    </row>
    <row r="129" spans="1:41" ht="15" x14ac:dyDescent="0.3">
      <c r="A129" s="26"/>
      <c r="B129" s="1" t="s">
        <v>22</v>
      </c>
      <c r="C129" s="48" t="s">
        <v>22</v>
      </c>
      <c r="D129" s="45" t="s">
        <v>19</v>
      </c>
      <c r="E129" s="27" t="str">
        <f t="shared" ref="E129:AI138" ca="1" si="624">IF(E125="P","08:00"," ")</f>
        <v>08:00</v>
      </c>
      <c r="F129" s="27" t="str">
        <f t="shared" ca="1" si="624"/>
        <v>08:00</v>
      </c>
      <c r="G129" s="27" t="str">
        <f t="shared" ca="1" si="624"/>
        <v xml:space="preserve"> </v>
      </c>
      <c r="H129" s="27" t="str">
        <f t="shared" ca="1" si="624"/>
        <v xml:space="preserve"> </v>
      </c>
      <c r="I129" s="27" t="str">
        <f t="shared" si="624"/>
        <v xml:space="preserve"> </v>
      </c>
      <c r="J129" s="27" t="str">
        <f t="shared" ca="1" si="624"/>
        <v>08:00</v>
      </c>
      <c r="K129" s="27" t="str">
        <f t="shared" ca="1" si="624"/>
        <v>08:00</v>
      </c>
      <c r="L129" s="27" t="str">
        <f t="shared" ca="1" si="624"/>
        <v>08:00</v>
      </c>
      <c r="M129" s="27" t="str">
        <f t="shared" ca="1" si="624"/>
        <v>08:00</v>
      </c>
      <c r="N129" s="27" t="str">
        <f t="shared" ca="1" si="624"/>
        <v xml:space="preserve"> </v>
      </c>
      <c r="O129" s="27" t="str">
        <f t="shared" ca="1" si="624"/>
        <v xml:space="preserve"> </v>
      </c>
      <c r="P129" s="27" t="str">
        <f t="shared" si="624"/>
        <v xml:space="preserve"> </v>
      </c>
      <c r="Q129" s="27" t="str">
        <f t="shared" ca="1" si="624"/>
        <v xml:space="preserve"> </v>
      </c>
      <c r="R129" s="27" t="str">
        <f t="shared" ca="1" si="624"/>
        <v>08:00</v>
      </c>
      <c r="S129" s="27" t="str">
        <f t="shared" ca="1" si="624"/>
        <v>08:00</v>
      </c>
      <c r="T129" s="27" t="str">
        <f t="shared" ca="1" si="624"/>
        <v>08:00</v>
      </c>
      <c r="U129" s="27" t="str">
        <f t="shared" ca="1" si="624"/>
        <v>08:00</v>
      </c>
      <c r="V129" s="27" t="str">
        <f t="shared" ca="1" si="624"/>
        <v xml:space="preserve"> </v>
      </c>
      <c r="W129" s="27" t="str">
        <f t="shared" si="624"/>
        <v xml:space="preserve"> </v>
      </c>
      <c r="X129" s="27" t="str">
        <f t="shared" ca="1" si="624"/>
        <v>08:00</v>
      </c>
      <c r="Y129" s="27" t="str">
        <f t="shared" ca="1" si="624"/>
        <v>08:00</v>
      </c>
      <c r="Z129" s="27" t="str">
        <f t="shared" ca="1" si="624"/>
        <v>08:00</v>
      </c>
      <c r="AA129" s="27" t="str">
        <f t="shared" ca="1" si="624"/>
        <v>08:00</v>
      </c>
      <c r="AB129" s="27" t="str">
        <f t="shared" ca="1" si="624"/>
        <v>08:00</v>
      </c>
      <c r="AC129" s="27" t="str">
        <f t="shared" ca="1" si="624"/>
        <v xml:space="preserve"> </v>
      </c>
      <c r="AD129" s="27" t="str">
        <f t="shared" si="624"/>
        <v xml:space="preserve"> </v>
      </c>
      <c r="AE129" s="27" t="str">
        <f t="shared" ca="1" si="624"/>
        <v>08:00</v>
      </c>
      <c r="AF129" s="27" t="str">
        <f t="shared" ca="1" si="624"/>
        <v xml:space="preserve"> </v>
      </c>
      <c r="AG129" s="27" t="str">
        <f t="shared" ca="1" si="624"/>
        <v>08:00</v>
      </c>
      <c r="AH129" s="27" t="str">
        <f t="shared" ca="1" si="624"/>
        <v>08:00</v>
      </c>
      <c r="AI129" s="27" t="str">
        <f t="shared" ca="1" si="624"/>
        <v xml:space="preserve"> </v>
      </c>
      <c r="AJ129" s="28"/>
      <c r="AK129" s="29"/>
      <c r="AL129" s="29"/>
      <c r="AM129" s="29"/>
      <c r="AN129" s="29"/>
      <c r="AO129" s="23" t="s">
        <v>22</v>
      </c>
    </row>
    <row r="130" spans="1:41" ht="15" x14ac:dyDescent="0.3">
      <c r="A130" s="26"/>
      <c r="B130" s="1" t="s">
        <v>22</v>
      </c>
      <c r="C130" s="48" t="s">
        <v>22</v>
      </c>
      <c r="D130" s="45" t="s">
        <v>12</v>
      </c>
      <c r="E130" s="27" t="str">
        <f t="shared" ref="E130:AI139" ca="1" si="625">IF(E125="P","01:00"," ")</f>
        <v>01:00</v>
      </c>
      <c r="F130" s="27" t="str">
        <f t="shared" ca="1" si="625"/>
        <v>01:00</v>
      </c>
      <c r="G130" s="27" t="str">
        <f t="shared" ca="1" si="625"/>
        <v xml:space="preserve"> </v>
      </c>
      <c r="H130" s="27" t="str">
        <f t="shared" ca="1" si="625"/>
        <v xml:space="preserve"> </v>
      </c>
      <c r="I130" s="27" t="str">
        <f t="shared" si="625"/>
        <v xml:space="preserve"> </v>
      </c>
      <c r="J130" s="27" t="str">
        <f t="shared" ca="1" si="625"/>
        <v>01:00</v>
      </c>
      <c r="K130" s="27" t="str">
        <f t="shared" ca="1" si="625"/>
        <v>01:00</v>
      </c>
      <c r="L130" s="27" t="str">
        <f t="shared" ca="1" si="625"/>
        <v>01:00</v>
      </c>
      <c r="M130" s="27" t="str">
        <f t="shared" ca="1" si="625"/>
        <v>01:00</v>
      </c>
      <c r="N130" s="27" t="str">
        <f t="shared" ca="1" si="625"/>
        <v xml:space="preserve"> </v>
      </c>
      <c r="O130" s="27" t="str">
        <f t="shared" ca="1" si="625"/>
        <v xml:space="preserve"> </v>
      </c>
      <c r="P130" s="27" t="str">
        <f t="shared" si="625"/>
        <v xml:space="preserve"> </v>
      </c>
      <c r="Q130" s="27" t="str">
        <f t="shared" ca="1" si="625"/>
        <v xml:space="preserve"> </v>
      </c>
      <c r="R130" s="27" t="str">
        <f t="shared" ca="1" si="625"/>
        <v>01:00</v>
      </c>
      <c r="S130" s="27" t="str">
        <f t="shared" ca="1" si="625"/>
        <v>01:00</v>
      </c>
      <c r="T130" s="27" t="str">
        <f t="shared" ca="1" si="625"/>
        <v>01:00</v>
      </c>
      <c r="U130" s="27" t="str">
        <f t="shared" ca="1" si="625"/>
        <v>01:00</v>
      </c>
      <c r="V130" s="27" t="str">
        <f t="shared" ca="1" si="625"/>
        <v xml:space="preserve"> </v>
      </c>
      <c r="W130" s="27" t="str">
        <f t="shared" si="625"/>
        <v xml:space="preserve"> </v>
      </c>
      <c r="X130" s="27" t="str">
        <f t="shared" ca="1" si="625"/>
        <v>01:00</v>
      </c>
      <c r="Y130" s="27" t="str">
        <f t="shared" ca="1" si="625"/>
        <v>01:00</v>
      </c>
      <c r="Z130" s="27" t="str">
        <f t="shared" ca="1" si="625"/>
        <v>01:00</v>
      </c>
      <c r="AA130" s="27" t="str">
        <f t="shared" ca="1" si="625"/>
        <v>01:00</v>
      </c>
      <c r="AB130" s="27" t="str">
        <f t="shared" ca="1" si="625"/>
        <v>01:00</v>
      </c>
      <c r="AC130" s="27" t="str">
        <f t="shared" ca="1" si="625"/>
        <v xml:space="preserve"> </v>
      </c>
      <c r="AD130" s="27" t="str">
        <f t="shared" si="625"/>
        <v xml:space="preserve"> </v>
      </c>
      <c r="AE130" s="27" t="str">
        <f t="shared" ca="1" si="625"/>
        <v>01:00</v>
      </c>
      <c r="AF130" s="27" t="str">
        <f t="shared" ca="1" si="625"/>
        <v xml:space="preserve"> </v>
      </c>
      <c r="AG130" s="27" t="str">
        <f t="shared" ca="1" si="625"/>
        <v>01:00</v>
      </c>
      <c r="AH130" s="27" t="str">
        <f t="shared" ca="1" si="625"/>
        <v>01:00</v>
      </c>
      <c r="AI130" s="27" t="str">
        <f t="shared" ca="1" si="625"/>
        <v xml:space="preserve"> </v>
      </c>
      <c r="AJ130" s="24" t="s">
        <v>11</v>
      </c>
      <c r="AK130" s="25"/>
      <c r="AL130" s="25"/>
      <c r="AM130" s="25"/>
      <c r="AN130" s="25"/>
      <c r="AO130" s="23" t="s">
        <v>22</v>
      </c>
    </row>
    <row r="131" spans="1:41" ht="15" x14ac:dyDescent="0.3">
      <c r="A131" s="26"/>
      <c r="B131" s="1" t="s">
        <v>22</v>
      </c>
      <c r="C131" s="48" t="s">
        <v>22</v>
      </c>
      <c r="D131" s="45" t="s">
        <v>11</v>
      </c>
      <c r="E131" s="27">
        <f t="shared" ref="E131:AI140" ca="1" si="626">IF(E125="P",E128-E130," ")</f>
        <v>0.29027777777777775</v>
      </c>
      <c r="F131" s="27">
        <f t="shared" ca="1" si="626"/>
        <v>0.29097222222222219</v>
      </c>
      <c r="G131" s="27" t="str">
        <f t="shared" ca="1" si="626"/>
        <v xml:space="preserve"> </v>
      </c>
      <c r="H131" s="27" t="str">
        <f t="shared" ca="1" si="626"/>
        <v xml:space="preserve"> </v>
      </c>
      <c r="I131" s="27" t="str">
        <f t="shared" si="626"/>
        <v xml:space="preserve"> </v>
      </c>
      <c r="J131" s="27">
        <f t="shared" ca="1" si="626"/>
        <v>0.28333333333333333</v>
      </c>
      <c r="K131" s="27">
        <f t="shared" ca="1" si="626"/>
        <v>0.2895833333333333</v>
      </c>
      <c r="L131" s="27">
        <f t="shared" ca="1" si="626"/>
        <v>0.29166666666666663</v>
      </c>
      <c r="M131" s="27">
        <f t="shared" ca="1" si="626"/>
        <v>0.2944444444444444</v>
      </c>
      <c r="N131" s="27" t="str">
        <f t="shared" ca="1" si="626"/>
        <v xml:space="preserve"> </v>
      </c>
      <c r="O131" s="27" t="str">
        <f t="shared" ca="1" si="626"/>
        <v xml:space="preserve"> </v>
      </c>
      <c r="P131" s="27" t="str">
        <f t="shared" si="626"/>
        <v xml:space="preserve"> </v>
      </c>
      <c r="Q131" s="27" t="str">
        <f t="shared" ca="1" si="626"/>
        <v xml:space="preserve"> </v>
      </c>
      <c r="R131" s="27">
        <f t="shared" ca="1" si="626"/>
        <v>0.3118055555555555</v>
      </c>
      <c r="S131" s="27">
        <f t="shared" ca="1" si="626"/>
        <v>0.29930555555555555</v>
      </c>
      <c r="T131" s="27">
        <f t="shared" ca="1" si="626"/>
        <v>0.2986111111111111</v>
      </c>
      <c r="U131" s="27">
        <f t="shared" ca="1" si="626"/>
        <v>0.31249999999999994</v>
      </c>
      <c r="V131" s="27" t="str">
        <f t="shared" ca="1" si="626"/>
        <v xml:space="preserve"> </v>
      </c>
      <c r="W131" s="27" t="str">
        <f t="shared" si="626"/>
        <v xml:space="preserve"> </v>
      </c>
      <c r="X131" s="27">
        <f t="shared" ca="1" si="626"/>
        <v>0.27708333333333329</v>
      </c>
      <c r="Y131" s="27">
        <f t="shared" ca="1" si="626"/>
        <v>0.2951388888888889</v>
      </c>
      <c r="Z131" s="27">
        <f t="shared" ca="1" si="626"/>
        <v>0.31041666666666662</v>
      </c>
      <c r="AA131" s="27">
        <f t="shared" ca="1" si="626"/>
        <v>0.29236111111111107</v>
      </c>
      <c r="AB131" s="27">
        <f t="shared" ca="1" si="626"/>
        <v>0.29722222222222222</v>
      </c>
      <c r="AC131" s="27" t="str">
        <f t="shared" ca="1" si="626"/>
        <v xml:space="preserve"> </v>
      </c>
      <c r="AD131" s="27" t="str">
        <f t="shared" si="626"/>
        <v xml:space="preserve"> </v>
      </c>
      <c r="AE131" s="27">
        <f t="shared" ca="1" si="626"/>
        <v>0.30277777777777776</v>
      </c>
      <c r="AF131" s="27" t="str">
        <f t="shared" ca="1" si="626"/>
        <v xml:space="preserve"> </v>
      </c>
      <c r="AG131" s="27">
        <f t="shared" ca="1" si="626"/>
        <v>0.29930555555555555</v>
      </c>
      <c r="AH131" s="27">
        <f t="shared" ca="1" si="626"/>
        <v>0.26666666666666666</v>
      </c>
      <c r="AI131" s="27" t="str">
        <f t="shared" ca="1" si="626"/>
        <v xml:space="preserve"> </v>
      </c>
      <c r="AJ131" s="30">
        <f t="shared" ref="AJ131:AJ132" ca="1" si="627">SUM(E131:AH131)</f>
        <v>5.3034722222222221</v>
      </c>
      <c r="AK131" s="25"/>
      <c r="AL131" s="25"/>
      <c r="AM131" s="25"/>
      <c r="AN131" s="25"/>
      <c r="AO131" s="23" t="s">
        <v>22</v>
      </c>
    </row>
    <row r="132" spans="1:41" ht="15.6" thickBot="1" x14ac:dyDescent="0.35">
      <c r="A132" s="31"/>
      <c r="B132" s="32" t="s">
        <v>22</v>
      </c>
      <c r="C132" s="49" t="s">
        <v>22</v>
      </c>
      <c r="D132" s="46" t="s">
        <v>20</v>
      </c>
      <c r="E132" s="33">
        <f t="shared" ref="E132:AI141" ca="1" si="628">IF(E125="P",(IF(E129&gt;E131,0,E131-E129))," ")</f>
        <v>0</v>
      </c>
      <c r="F132" s="33">
        <f t="shared" ca="1" si="628"/>
        <v>0</v>
      </c>
      <c r="G132" s="33" t="str">
        <f t="shared" ca="1" si="628"/>
        <v xml:space="preserve"> </v>
      </c>
      <c r="H132" s="33" t="str">
        <f t="shared" ca="1" si="628"/>
        <v xml:space="preserve"> </v>
      </c>
      <c r="I132" s="33" t="str">
        <f t="shared" si="628"/>
        <v xml:space="preserve"> </v>
      </c>
      <c r="J132" s="33">
        <f t="shared" ca="1" si="628"/>
        <v>0</v>
      </c>
      <c r="K132" s="33">
        <f t="shared" ca="1" si="628"/>
        <v>0</v>
      </c>
      <c r="L132" s="33">
        <f t="shared" ca="1" si="628"/>
        <v>0</v>
      </c>
      <c r="M132" s="33">
        <f t="shared" ca="1" si="628"/>
        <v>0</v>
      </c>
      <c r="N132" s="33" t="str">
        <f t="shared" ca="1" si="628"/>
        <v xml:space="preserve"> </v>
      </c>
      <c r="O132" s="33" t="str">
        <f t="shared" ca="1" si="628"/>
        <v xml:space="preserve"> </v>
      </c>
      <c r="P132" s="33" t="str">
        <f t="shared" si="628"/>
        <v xml:space="preserve"> </v>
      </c>
      <c r="Q132" s="33" t="str">
        <f t="shared" ca="1" si="628"/>
        <v xml:space="preserve"> </v>
      </c>
      <c r="R132" s="33">
        <f t="shared" ca="1" si="628"/>
        <v>0</v>
      </c>
      <c r="S132" s="33">
        <f t="shared" ca="1" si="628"/>
        <v>0</v>
      </c>
      <c r="T132" s="33">
        <f t="shared" ca="1" si="628"/>
        <v>0</v>
      </c>
      <c r="U132" s="33">
        <f t="shared" ca="1" si="628"/>
        <v>0</v>
      </c>
      <c r="V132" s="33" t="str">
        <f t="shared" ca="1" si="628"/>
        <v xml:space="preserve"> </v>
      </c>
      <c r="W132" s="33" t="str">
        <f t="shared" si="628"/>
        <v xml:space="preserve"> </v>
      </c>
      <c r="X132" s="33">
        <f t="shared" ca="1" si="628"/>
        <v>0</v>
      </c>
      <c r="Y132" s="33">
        <f t="shared" ca="1" si="628"/>
        <v>0</v>
      </c>
      <c r="Z132" s="33">
        <f t="shared" ca="1" si="628"/>
        <v>0</v>
      </c>
      <c r="AA132" s="33">
        <f t="shared" ca="1" si="628"/>
        <v>0</v>
      </c>
      <c r="AB132" s="33">
        <f t="shared" ca="1" si="628"/>
        <v>0</v>
      </c>
      <c r="AC132" s="33" t="str">
        <f t="shared" ca="1" si="628"/>
        <v xml:space="preserve"> </v>
      </c>
      <c r="AD132" s="33" t="str">
        <f t="shared" si="628"/>
        <v xml:space="preserve"> </v>
      </c>
      <c r="AE132" s="33">
        <f t="shared" ca="1" si="628"/>
        <v>0</v>
      </c>
      <c r="AF132" s="33" t="str">
        <f t="shared" ca="1" si="628"/>
        <v xml:space="preserve"> </v>
      </c>
      <c r="AG132" s="33">
        <f t="shared" ca="1" si="628"/>
        <v>0</v>
      </c>
      <c r="AH132" s="33">
        <f t="shared" ca="1" si="628"/>
        <v>0</v>
      </c>
      <c r="AI132" s="33" t="str">
        <f t="shared" ca="1" si="628"/>
        <v xml:space="preserve"> </v>
      </c>
      <c r="AJ132" s="34">
        <f t="shared" ca="1" si="627"/>
        <v>0</v>
      </c>
      <c r="AK132" s="35"/>
      <c r="AL132" s="35"/>
      <c r="AM132" s="35"/>
      <c r="AN132" s="35"/>
      <c r="AO132" s="36" t="s">
        <v>22</v>
      </c>
    </row>
    <row r="133" spans="1:41" ht="15.6" thickBot="1" x14ac:dyDescent="0.35">
      <c r="A133" s="14"/>
      <c r="B133" s="15" t="s">
        <v>22</v>
      </c>
      <c r="C133" s="47" t="s">
        <v>22</v>
      </c>
      <c r="D133" s="37" t="s">
        <v>69</v>
      </c>
      <c r="E133" s="9">
        <f t="shared" ref="E133:T133" ca="1" si="629">IF(OR(E$5="",E$5=0),-2,IF(E$6=$D134,-1,RAND()))</f>
        <v>0.34847360989255738</v>
      </c>
      <c r="F133" s="9">
        <f t="shared" ca="1" si="629"/>
        <v>-1</v>
      </c>
      <c r="G133" s="9">
        <f t="shared" ca="1" si="629"/>
        <v>0.73646644168125719</v>
      </c>
      <c r="H133" s="9">
        <f t="shared" ca="1" si="629"/>
        <v>0.79757417055858515</v>
      </c>
      <c r="I133" s="9">
        <f t="shared" ca="1" si="629"/>
        <v>0.63799123383328871</v>
      </c>
      <c r="J133" s="9">
        <f t="shared" ca="1" si="629"/>
        <v>0.16799765265780675</v>
      </c>
      <c r="K133" s="9">
        <f t="shared" ca="1" si="629"/>
        <v>0.26208519699332677</v>
      </c>
      <c r="L133" s="9">
        <f t="shared" ca="1" si="629"/>
        <v>0.3165901110230197</v>
      </c>
      <c r="M133" s="9">
        <f t="shared" ca="1" si="629"/>
        <v>-1</v>
      </c>
      <c r="N133" s="9">
        <f t="shared" ca="1" si="629"/>
        <v>0.25385154530405729</v>
      </c>
      <c r="O133" s="9">
        <f t="shared" ca="1" si="629"/>
        <v>0.42668928175253806</v>
      </c>
      <c r="P133" s="9">
        <f t="shared" ca="1" si="629"/>
        <v>0.11631421432354938</v>
      </c>
      <c r="Q133" s="9">
        <f t="shared" ca="1" si="629"/>
        <v>0.8367456704687416</v>
      </c>
      <c r="R133" s="9">
        <f t="shared" ca="1" si="629"/>
        <v>0.79944395767263454</v>
      </c>
      <c r="S133" s="9">
        <f t="shared" ca="1" si="629"/>
        <v>0.76204907253489396</v>
      </c>
      <c r="T133" s="9">
        <f t="shared" ca="1" si="629"/>
        <v>-1</v>
      </c>
      <c r="U133" s="9">
        <f t="shared" ref="U133:AI133" ca="1" si="630">IF(OR(U$5="",U$5=0),-2,IF(U$6=$D134,-1,RAND()))</f>
        <v>0.55362548168356329</v>
      </c>
      <c r="V133" s="9">
        <f t="shared" ca="1" si="630"/>
        <v>0.61162489552653942</v>
      </c>
      <c r="W133" s="9">
        <f t="shared" ca="1" si="630"/>
        <v>6.4993298664962618E-3</v>
      </c>
      <c r="X133" s="9">
        <f t="shared" ca="1" si="630"/>
        <v>0.10709491080654132</v>
      </c>
      <c r="Y133" s="9">
        <f t="shared" ca="1" si="630"/>
        <v>0.66566922638419346</v>
      </c>
      <c r="Z133" s="9">
        <f t="shared" ca="1" si="630"/>
        <v>0.91778653142285227</v>
      </c>
      <c r="AA133" s="9">
        <f t="shared" ca="1" si="630"/>
        <v>-1</v>
      </c>
      <c r="AB133" s="9">
        <f t="shared" ca="1" si="630"/>
        <v>0.60756179733330729</v>
      </c>
      <c r="AC133" s="9">
        <f t="shared" ca="1" si="630"/>
        <v>0.65865613121472655</v>
      </c>
      <c r="AD133" s="9">
        <f t="shared" ca="1" si="630"/>
        <v>0.38112764643202068</v>
      </c>
      <c r="AE133" s="9">
        <f t="shared" ca="1" si="630"/>
        <v>0.50831376738449752</v>
      </c>
      <c r="AF133" s="9">
        <f t="shared" ca="1" si="630"/>
        <v>5.0383648706249007E-2</v>
      </c>
      <c r="AG133" s="9">
        <f t="shared" ca="1" si="630"/>
        <v>0.45421128250566711</v>
      </c>
      <c r="AH133" s="9">
        <f t="shared" ca="1" si="630"/>
        <v>-1</v>
      </c>
      <c r="AI133" s="9">
        <f t="shared" ca="1" si="630"/>
        <v>0.73466853001450394</v>
      </c>
      <c r="AJ133" s="38"/>
      <c r="AK133" s="37"/>
      <c r="AL133" s="37"/>
      <c r="AM133" s="37"/>
      <c r="AN133" s="37"/>
      <c r="AO133" s="39" t="s">
        <v>22</v>
      </c>
    </row>
    <row r="134" spans="1:41" ht="15.6" thickBot="1" x14ac:dyDescent="0.35">
      <c r="A134" s="42"/>
      <c r="B134" s="44" t="s">
        <v>36</v>
      </c>
      <c r="C134" s="43" t="s">
        <v>58</v>
      </c>
      <c r="D134" s="37" t="s">
        <v>68</v>
      </c>
      <c r="E134" s="9" t="str">
        <f t="shared" ref="E134" ca="1" si="631">IF(OR(E$5="",E$5=0),"",IF(E$6=$D134,"W",IF(_xlfn.RANK.EQ(E133,$E133:$AI133,0)&lt;=INT($AO134),"P",IF(AND(_xlfn.RANK.EQ(E133,$E133:$AI133,0)=INT($AO134)+1,MOD($AO134,1)=0.5),"H","A"))))</f>
        <v>P</v>
      </c>
      <c r="F134" s="9" t="str">
        <f t="shared" ref="F134" si="632">IF(OR(F$5="",F$5=0),"",IF(F$6=$D134,"W",IF(_xlfn.RANK.EQ(F133,$E133:$AI133,0)&lt;=INT($AO134),"P",IF(AND(_xlfn.RANK.EQ(F133,$E133:$AI133,0)=INT($AO134)+1,MOD($AO134,1)=0.5),"H","A"))))</f>
        <v>W</v>
      </c>
      <c r="G134" s="9" t="str">
        <f t="shared" ref="G134" ca="1" si="633">IF(OR(G$5="",G$5=0),"",IF(G$6=$D134,"W",IF(_xlfn.RANK.EQ(G133,$E133:$AI133,0)&lt;=INT($AO134),"P",IF(AND(_xlfn.RANK.EQ(G133,$E133:$AI133,0)=INT($AO134)+1,MOD($AO134,1)=0.5),"H","A"))))</f>
        <v>P</v>
      </c>
      <c r="H134" s="9" t="str">
        <f t="shared" ref="H134" ca="1" si="634">IF(OR(H$5="",H$5=0),"",IF(H$6=$D134,"W",IF(_xlfn.RANK.EQ(H133,$E133:$AI133,0)&lt;=INT($AO134),"P",IF(AND(_xlfn.RANK.EQ(H133,$E133:$AI133,0)=INT($AO134)+1,MOD($AO134,1)=0.5),"H","A"))))</f>
        <v>P</v>
      </c>
      <c r="I134" s="9" t="str">
        <f t="shared" ref="I134" ca="1" si="635">IF(OR(I$5="",I$5=0),"",IF(I$6=$D134,"W",IF(_xlfn.RANK.EQ(I133,$E133:$AI133,0)&lt;=INT($AO134),"P",IF(AND(_xlfn.RANK.EQ(I133,$E133:$AI133,0)=INT($AO134)+1,MOD($AO134,1)=0.5),"H","A"))))</f>
        <v>P</v>
      </c>
      <c r="J134" s="9" t="str">
        <f t="shared" ref="J134" ca="1" si="636">IF(OR(J$5="",J$5=0),"",IF(J$6=$D134,"W",IF(_xlfn.RANK.EQ(J133,$E133:$AI133,0)&lt;=INT($AO134),"P",IF(AND(_xlfn.RANK.EQ(J133,$E133:$AI133,0)=INT($AO134)+1,MOD($AO134,1)=0.5),"H","A"))))</f>
        <v>P</v>
      </c>
      <c r="K134" s="9" t="str">
        <f t="shared" ref="K134" ca="1" si="637">IF(OR(K$5="",K$5=0),"",IF(K$6=$D134,"W",IF(_xlfn.RANK.EQ(K133,$E133:$AI133,0)&lt;=INT($AO134),"P",IF(AND(_xlfn.RANK.EQ(K133,$E133:$AI133,0)=INT($AO134)+1,MOD($AO134,1)=0.5),"H","A"))))</f>
        <v>P</v>
      </c>
      <c r="L134" s="9" t="str">
        <f t="shared" ref="L134" ca="1" si="638">IF(OR(L$5="",L$5=0),"",IF(L$6=$D134,"W",IF(_xlfn.RANK.EQ(L133,$E133:$AI133,0)&lt;=INT($AO134),"P",IF(AND(_xlfn.RANK.EQ(L133,$E133:$AI133,0)=INT($AO134)+1,MOD($AO134,1)=0.5),"H","A"))))</f>
        <v>P</v>
      </c>
      <c r="M134" s="9" t="str">
        <f t="shared" ref="M134" si="639">IF(OR(M$5="",M$5=0),"",IF(M$6=$D134,"W",IF(_xlfn.RANK.EQ(M133,$E133:$AI133,0)&lt;=INT($AO134),"P",IF(AND(_xlfn.RANK.EQ(M133,$E133:$AI133,0)=INT($AO134)+1,MOD($AO134,1)=0.5),"H","A"))))</f>
        <v>W</v>
      </c>
      <c r="N134" s="9" t="str">
        <f t="shared" ref="N134" ca="1" si="640">IF(OR(N$5="",N$5=0),"",IF(N$6=$D134,"W",IF(_xlfn.RANK.EQ(N133,$E133:$AI133,0)&lt;=INT($AO134),"P",IF(AND(_xlfn.RANK.EQ(N133,$E133:$AI133,0)=INT($AO134)+1,MOD($AO134,1)=0.5),"H","A"))))</f>
        <v>P</v>
      </c>
      <c r="O134" s="9" t="str">
        <f t="shared" ref="O134" ca="1" si="641">IF(OR(O$5="",O$5=0),"",IF(O$6=$D134,"W",IF(_xlfn.RANK.EQ(O133,$E133:$AI133,0)&lt;=INT($AO134),"P",IF(AND(_xlfn.RANK.EQ(O133,$E133:$AI133,0)=INT($AO134)+1,MOD($AO134,1)=0.5),"H","A"))))</f>
        <v>P</v>
      </c>
      <c r="P134" s="9" t="str">
        <f t="shared" ref="P134" ca="1" si="642">IF(OR(P$5="",P$5=0),"",IF(P$6=$D134,"W",IF(_xlfn.RANK.EQ(P133,$E133:$AI133,0)&lt;=INT($AO134),"P",IF(AND(_xlfn.RANK.EQ(P133,$E133:$AI133,0)=INT($AO134)+1,MOD($AO134,1)=0.5),"H","A"))))</f>
        <v>P</v>
      </c>
      <c r="Q134" s="9" t="str">
        <f t="shared" ref="Q134" ca="1" si="643">IF(OR(Q$5="",Q$5=0),"",IF(Q$6=$D134,"W",IF(_xlfn.RANK.EQ(Q133,$E133:$AI133,0)&lt;=INT($AO134),"P",IF(AND(_xlfn.RANK.EQ(Q133,$E133:$AI133,0)=INT($AO134)+1,MOD($AO134,1)=0.5),"H","A"))))</f>
        <v>P</v>
      </c>
      <c r="R134" s="9" t="str">
        <f t="shared" ref="R134" ca="1" si="644">IF(OR(R$5="",R$5=0),"",IF(R$6=$D134,"W",IF(_xlfn.RANK.EQ(R133,$E133:$AI133,0)&lt;=INT($AO134),"P",IF(AND(_xlfn.RANK.EQ(R133,$E133:$AI133,0)=INT($AO134)+1,MOD($AO134,1)=0.5),"H","A"))))</f>
        <v>P</v>
      </c>
      <c r="S134" s="9" t="str">
        <f t="shared" ref="S134" ca="1" si="645">IF(OR(S$5="",S$5=0),"",IF(S$6=$D134,"W",IF(_xlfn.RANK.EQ(S133,$E133:$AI133,0)&lt;=INT($AO134),"P",IF(AND(_xlfn.RANK.EQ(S133,$E133:$AI133,0)=INT($AO134)+1,MOD($AO134,1)=0.5),"H","A"))))</f>
        <v>P</v>
      </c>
      <c r="T134" s="9" t="str">
        <f t="shared" ref="T134" si="646">IF(OR(T$5="",T$5=0),"",IF(T$6=$D134,"W",IF(_xlfn.RANK.EQ(T133,$E133:$AI133,0)&lt;=INT($AO134),"P",IF(AND(_xlfn.RANK.EQ(T133,$E133:$AI133,0)=INT($AO134)+1,MOD($AO134,1)=0.5),"H","A"))))</f>
        <v>W</v>
      </c>
      <c r="U134" s="9" t="str">
        <f t="shared" ref="U134" ca="1" si="647">IF(OR(U$5="",U$5=0),"",IF(U$6=$D134,"W",IF(_xlfn.RANK.EQ(U133,$E133:$AI133,0)&lt;=INT($AO134),"P",IF(AND(_xlfn.RANK.EQ(U133,$E133:$AI133,0)=INT($AO134)+1,MOD($AO134,1)=0.5),"H","A"))))</f>
        <v>P</v>
      </c>
      <c r="V134" s="9" t="str">
        <f t="shared" ref="V134" ca="1" si="648">IF(OR(V$5="",V$5=0),"",IF(V$6=$D134,"W",IF(_xlfn.RANK.EQ(V133,$E133:$AI133,0)&lt;=INT($AO134),"P",IF(AND(_xlfn.RANK.EQ(V133,$E133:$AI133,0)=INT($AO134)+1,MOD($AO134,1)=0.5),"H","A"))))</f>
        <v>P</v>
      </c>
      <c r="W134" s="9" t="str">
        <f t="shared" ref="W134" ca="1" si="649">IF(OR(W$5="",W$5=0),"",IF(W$6=$D134,"W",IF(_xlfn.RANK.EQ(W133,$E133:$AI133,0)&lt;=INT($AO134),"P",IF(AND(_xlfn.RANK.EQ(W133,$E133:$AI133,0)=INT($AO134)+1,MOD($AO134,1)=0.5),"H","A"))))</f>
        <v>P</v>
      </c>
      <c r="X134" s="9" t="str">
        <f t="shared" ref="X134" ca="1" si="650">IF(OR(X$5="",X$5=0),"",IF(X$6=$D134,"W",IF(_xlfn.RANK.EQ(X133,$E133:$AI133,0)&lt;=INT($AO134),"P",IF(AND(_xlfn.RANK.EQ(X133,$E133:$AI133,0)=INT($AO134)+1,MOD($AO134,1)=0.5),"H","A"))))</f>
        <v>P</v>
      </c>
      <c r="Y134" s="9" t="str">
        <f t="shared" ref="Y134" ca="1" si="651">IF(OR(Y$5="",Y$5=0),"",IF(Y$6=$D134,"W",IF(_xlfn.RANK.EQ(Y133,$E133:$AI133,0)&lt;=INT($AO134),"P",IF(AND(_xlfn.RANK.EQ(Y133,$E133:$AI133,0)=INT($AO134)+1,MOD($AO134,1)=0.5),"H","A"))))</f>
        <v>P</v>
      </c>
      <c r="Z134" s="9" t="str">
        <f t="shared" ref="Z134" ca="1" si="652">IF(OR(Z$5="",Z$5=0),"",IF(Z$6=$D134,"W",IF(_xlfn.RANK.EQ(Z133,$E133:$AI133,0)&lt;=INT($AO134),"P",IF(AND(_xlfn.RANK.EQ(Z133,$E133:$AI133,0)=INT($AO134)+1,MOD($AO134,1)=0.5),"H","A"))))</f>
        <v>P</v>
      </c>
      <c r="AA134" s="9" t="str">
        <f t="shared" ref="AA134" si="653">IF(OR(AA$5="",AA$5=0),"",IF(AA$6=$D134,"W",IF(_xlfn.RANK.EQ(AA133,$E133:$AI133,0)&lt;=INT($AO134),"P",IF(AND(_xlfn.RANK.EQ(AA133,$E133:$AI133,0)=INT($AO134)+1,MOD($AO134,1)=0.5),"H","A"))))</f>
        <v>W</v>
      </c>
      <c r="AB134" s="9" t="str">
        <f t="shared" ref="AB134" ca="1" si="654">IF(OR(AB$5="",AB$5=0),"",IF(AB$6=$D134,"W",IF(_xlfn.RANK.EQ(AB133,$E133:$AI133,0)&lt;=INT($AO134),"P",IF(AND(_xlfn.RANK.EQ(AB133,$E133:$AI133,0)=INT($AO134)+1,MOD($AO134,1)=0.5),"H","A"))))</f>
        <v>P</v>
      </c>
      <c r="AC134" s="9" t="str">
        <f t="shared" ref="AC134" ca="1" si="655">IF(OR(AC$5="",AC$5=0),"",IF(AC$6=$D134,"W",IF(_xlfn.RANK.EQ(AC133,$E133:$AI133,0)&lt;=INT($AO134),"P",IF(AND(_xlfn.RANK.EQ(AC133,$E133:$AI133,0)=INT($AO134)+1,MOD($AO134,1)=0.5),"H","A"))))</f>
        <v>P</v>
      </c>
      <c r="AD134" s="9" t="str">
        <f t="shared" ref="AD134" ca="1" si="656">IF(OR(AD$5="",AD$5=0),"",IF(AD$6=$D134,"W",IF(_xlfn.RANK.EQ(AD133,$E133:$AI133,0)&lt;=INT($AO134),"P",IF(AND(_xlfn.RANK.EQ(AD133,$E133:$AI133,0)=INT($AO134)+1,MOD($AO134,1)=0.5),"H","A"))))</f>
        <v>P</v>
      </c>
      <c r="AE134" s="9" t="str">
        <f t="shared" ref="AE134" ca="1" si="657">IF(OR(AE$5="",AE$5=0),"",IF(AE$6=$D134,"W",IF(_xlfn.RANK.EQ(AE133,$E133:$AI133,0)&lt;=INT($AO134),"P",IF(AND(_xlfn.RANK.EQ(AE133,$E133:$AI133,0)=INT($AO134)+1,MOD($AO134,1)=0.5),"H","A"))))</f>
        <v>P</v>
      </c>
      <c r="AF134" s="9" t="str">
        <f t="shared" ref="AF134" ca="1" si="658">IF(OR(AF$5="",AF$5=0),"",IF(AF$6=$D134,"W",IF(_xlfn.RANK.EQ(AF133,$E133:$AI133,0)&lt;=INT($AO134),"P",IF(AND(_xlfn.RANK.EQ(AF133,$E133:$AI133,0)=INT($AO134)+1,MOD($AO134,1)=0.5),"H","A"))))</f>
        <v>P</v>
      </c>
      <c r="AG134" s="9" t="str">
        <f t="shared" ref="AG134" ca="1" si="659">IF(OR(AG$5="",AG$5=0),"",IF(AG$6=$D134,"W",IF(_xlfn.RANK.EQ(AG133,$E133:$AI133,0)&lt;=INT($AO134),"P",IF(AND(_xlfn.RANK.EQ(AG133,$E133:$AI133,0)=INT($AO134)+1,MOD($AO134,1)=0.5),"H","A"))))</f>
        <v>P</v>
      </c>
      <c r="AH134" s="9" t="str">
        <f t="shared" ref="AH134" si="660">IF(OR(AH$5="",AH$5=0),"",IF(AH$6=$D134,"W",IF(_xlfn.RANK.EQ(AH133,$E133:$AI133,0)&lt;=INT($AO134),"P",IF(AND(_xlfn.RANK.EQ(AH133,$E133:$AI133,0)=INT($AO134)+1,MOD($AO134,1)=0.5),"H","A"))))</f>
        <v>W</v>
      </c>
      <c r="AI134" s="9" t="str">
        <f t="shared" ref="AI134" ca="1" si="661">IF(OR(AI$5="",AI$5=0),"",IF(AI$6=$D134,"W",IF(_xlfn.RANK.EQ(AI133,$E133:$AI133,0)&lt;=INT($AO134),"P",IF(AND(_xlfn.RANK.EQ(AI133,$E133:$AI133,0)=INT($AO134)+1,MOD($AO134,1)=0.5),"H","A"))))</f>
        <v>P</v>
      </c>
      <c r="AJ134" s="16">
        <f t="shared" ref="AJ134" ca="1" si="662">COUNTIF(E134:AI134, "P")</f>
        <v>26</v>
      </c>
      <c r="AK134" s="17">
        <f t="shared" ref="AK134" ca="1" si="663">COUNTIF(E134:AH134, "A")</f>
        <v>0</v>
      </c>
      <c r="AL134" s="17">
        <f t="shared" ref="AL134" ca="1" si="664">COUNTIF(E134:AH134, "W")</f>
        <v>5</v>
      </c>
      <c r="AM134" s="17">
        <f t="shared" ref="AM134" ca="1" si="665">COUNTIF(E134:AH134, "H")</f>
        <v>0</v>
      </c>
      <c r="AN134" s="17">
        <f t="shared" ref="AN134" ca="1" si="666">COUNTIF(E134:AH134, "PL")</f>
        <v>0</v>
      </c>
      <c r="AO134" s="18">
        <v>26</v>
      </c>
    </row>
    <row r="135" spans="1:41" ht="15" x14ac:dyDescent="0.3">
      <c r="A135" s="19"/>
      <c r="B135" s="1" t="s">
        <v>22</v>
      </c>
      <c r="C135" s="48" t="s">
        <v>22</v>
      </c>
      <c r="D135" s="45" t="s">
        <v>1</v>
      </c>
      <c r="E135" s="20" t="str">
        <f t="shared" ref="E135:AH135" ca="1" si="667">IF(E134="P", IF($D133="G", TEXT(RAND()*(9.27-9.62)/24+9.62/24,"HH:MM"), IF($D133="A", TEXT(RAND()*(8.06-8.1)/24+8.15/24,"HH:MM"), IF($D133="B", TEXT(RAND()*(16.06-16.1)/24+16.15/24,"HH:MM"), IF($D133="C", TEXT(RAND()*(24.85-24.13)/24+24.13/24,"HH:MM"), " ")))), "")</f>
        <v>16:08</v>
      </c>
      <c r="F135" s="20" t="str">
        <f t="shared" ca="1" si="667"/>
        <v/>
      </c>
      <c r="G135" s="20" t="str">
        <f t="shared" ca="1" si="667"/>
        <v>16:06</v>
      </c>
      <c r="H135" s="20" t="str">
        <f t="shared" ca="1" si="667"/>
        <v>16:08</v>
      </c>
      <c r="I135" s="20" t="str">
        <f t="shared" ca="1" si="667"/>
        <v>16:06</v>
      </c>
      <c r="J135" s="20" t="str">
        <f t="shared" ca="1" si="667"/>
        <v>16:07</v>
      </c>
      <c r="K135" s="20" t="str">
        <f t="shared" ca="1" si="667"/>
        <v>16:08</v>
      </c>
      <c r="L135" s="20" t="str">
        <f t="shared" ca="1" si="667"/>
        <v>16:07</v>
      </c>
      <c r="M135" s="20" t="str">
        <f t="shared" ca="1" si="667"/>
        <v/>
      </c>
      <c r="N135" s="20" t="str">
        <f t="shared" ca="1" si="667"/>
        <v>16:08</v>
      </c>
      <c r="O135" s="20" t="str">
        <f t="shared" ca="1" si="667"/>
        <v>16:07</v>
      </c>
      <c r="P135" s="20" t="str">
        <f t="shared" ca="1" si="667"/>
        <v>16:07</v>
      </c>
      <c r="Q135" s="20" t="str">
        <f t="shared" ca="1" si="667"/>
        <v>16:07</v>
      </c>
      <c r="R135" s="20" t="str">
        <f t="shared" ca="1" si="667"/>
        <v>16:07</v>
      </c>
      <c r="S135" s="20" t="str">
        <f t="shared" ca="1" si="667"/>
        <v>16:07</v>
      </c>
      <c r="T135" s="20" t="str">
        <f t="shared" ca="1" si="667"/>
        <v/>
      </c>
      <c r="U135" s="20" t="str">
        <f t="shared" ca="1" si="667"/>
        <v>16:07</v>
      </c>
      <c r="V135" s="20" t="str">
        <f t="shared" ca="1" si="667"/>
        <v>16:07</v>
      </c>
      <c r="W135" s="20" t="str">
        <f t="shared" ca="1" si="667"/>
        <v>16:08</v>
      </c>
      <c r="X135" s="20" t="str">
        <f t="shared" ca="1" si="667"/>
        <v>16:07</v>
      </c>
      <c r="Y135" s="20" t="str">
        <f t="shared" ca="1" si="667"/>
        <v>16:08</v>
      </c>
      <c r="Z135" s="20" t="str">
        <f t="shared" ca="1" si="667"/>
        <v>16:07</v>
      </c>
      <c r="AA135" s="20" t="str">
        <f t="shared" ca="1" si="667"/>
        <v/>
      </c>
      <c r="AB135" s="20" t="str">
        <f t="shared" ca="1" si="667"/>
        <v>16:07</v>
      </c>
      <c r="AC135" s="20" t="str">
        <f t="shared" ca="1" si="667"/>
        <v>16:08</v>
      </c>
      <c r="AD135" s="20" t="str">
        <f t="shared" ca="1" si="667"/>
        <v>16:07</v>
      </c>
      <c r="AE135" s="20" t="str">
        <f t="shared" ca="1" si="667"/>
        <v>16:08</v>
      </c>
      <c r="AF135" s="20" t="str">
        <f t="shared" ca="1" si="667"/>
        <v>16:07</v>
      </c>
      <c r="AG135" s="20" t="str">
        <f t="shared" ca="1" si="667"/>
        <v>16:07</v>
      </c>
      <c r="AH135" s="20" t="str">
        <f t="shared" ca="1" si="667"/>
        <v/>
      </c>
      <c r="AI135" s="20" t="str">
        <f t="shared" ca="1" si="620"/>
        <v>16:07</v>
      </c>
      <c r="AJ135" s="21"/>
      <c r="AK135" s="22"/>
      <c r="AL135" s="22"/>
      <c r="AM135" s="22"/>
      <c r="AN135" s="22"/>
      <c r="AO135" s="23" t="s">
        <v>22</v>
      </c>
    </row>
    <row r="136" spans="1:41" ht="15" x14ac:dyDescent="0.3">
      <c r="A136" s="19"/>
      <c r="B136" s="1" t="s">
        <v>22</v>
      </c>
      <c r="C136" s="48" t="s">
        <v>22</v>
      </c>
      <c r="D136" s="45" t="s">
        <v>2</v>
      </c>
      <c r="E136" s="20" t="str">
        <f t="shared" ref="E136:AH136" ca="1" si="668">IF(E134="P", IF($D133="G", TEXT(RAND()*(18.85-18.13)/24+18.13/24,"HH:MM"), IF($D133="A", TEXT(RAND()*(16.85-16.13)/24+16.13/24,"HH:MM"), IF($D133="B", TEXT(RAND()*(24.85-24.13)/24+24.13/24,"HH:MM"), IF($D133="C", TEXT(RAND()*(8.85-8.13)/24+8.13/24,"HH:MM"), " ")))), "")</f>
        <v>00:14</v>
      </c>
      <c r="F136" s="20" t="str">
        <f t="shared" ca="1" si="668"/>
        <v/>
      </c>
      <c r="G136" s="20" t="str">
        <f t="shared" ca="1" si="668"/>
        <v>00:27</v>
      </c>
      <c r="H136" s="20" t="str">
        <f t="shared" ca="1" si="668"/>
        <v>00:16</v>
      </c>
      <c r="I136" s="20" t="str">
        <f t="shared" ca="1" si="668"/>
        <v>00:48</v>
      </c>
      <c r="J136" s="20" t="str">
        <f t="shared" ca="1" si="668"/>
        <v>00:21</v>
      </c>
      <c r="K136" s="20" t="str">
        <f t="shared" ca="1" si="668"/>
        <v>00:35</v>
      </c>
      <c r="L136" s="20" t="str">
        <f t="shared" ca="1" si="668"/>
        <v>00:40</v>
      </c>
      <c r="M136" s="20" t="str">
        <f t="shared" ca="1" si="668"/>
        <v/>
      </c>
      <c r="N136" s="20" t="str">
        <f t="shared" ca="1" si="668"/>
        <v>00:15</v>
      </c>
      <c r="O136" s="20" t="str">
        <f t="shared" ca="1" si="668"/>
        <v>00:43</v>
      </c>
      <c r="P136" s="20" t="str">
        <f t="shared" ca="1" si="668"/>
        <v>00:42</v>
      </c>
      <c r="Q136" s="20" t="str">
        <f t="shared" ca="1" si="668"/>
        <v>00:20</v>
      </c>
      <c r="R136" s="20" t="str">
        <f t="shared" ca="1" si="668"/>
        <v>00:48</v>
      </c>
      <c r="S136" s="20" t="str">
        <f t="shared" ca="1" si="668"/>
        <v>00:42</v>
      </c>
      <c r="T136" s="20" t="str">
        <f t="shared" ca="1" si="668"/>
        <v/>
      </c>
      <c r="U136" s="20" t="str">
        <f t="shared" ca="1" si="668"/>
        <v>00:30</v>
      </c>
      <c r="V136" s="20" t="str">
        <f t="shared" ca="1" si="668"/>
        <v>00:42</v>
      </c>
      <c r="W136" s="20" t="str">
        <f t="shared" ca="1" si="668"/>
        <v>00:32</v>
      </c>
      <c r="X136" s="20" t="str">
        <f t="shared" ca="1" si="668"/>
        <v>00:39</v>
      </c>
      <c r="Y136" s="20" t="str">
        <f t="shared" ca="1" si="668"/>
        <v>00:33</v>
      </c>
      <c r="Z136" s="20" t="str">
        <f t="shared" ca="1" si="668"/>
        <v>00:11</v>
      </c>
      <c r="AA136" s="20" t="str">
        <f t="shared" ca="1" si="668"/>
        <v/>
      </c>
      <c r="AB136" s="20" t="str">
        <f t="shared" ca="1" si="668"/>
        <v>00:08</v>
      </c>
      <c r="AC136" s="20" t="str">
        <f t="shared" ca="1" si="668"/>
        <v>00:08</v>
      </c>
      <c r="AD136" s="20" t="str">
        <f t="shared" ca="1" si="668"/>
        <v>00:34</v>
      </c>
      <c r="AE136" s="20" t="str">
        <f t="shared" ca="1" si="668"/>
        <v>00:28</v>
      </c>
      <c r="AF136" s="20" t="str">
        <f t="shared" ca="1" si="668"/>
        <v>00:33</v>
      </c>
      <c r="AG136" s="20" t="str">
        <f t="shared" ca="1" si="668"/>
        <v>00:25</v>
      </c>
      <c r="AH136" s="20" t="str">
        <f t="shared" ca="1" si="668"/>
        <v/>
      </c>
      <c r="AI136" s="20" t="str">
        <f t="shared" ca="1" si="621"/>
        <v>00:25</v>
      </c>
      <c r="AJ136" s="24" t="s">
        <v>13</v>
      </c>
      <c r="AK136" s="25"/>
      <c r="AL136" s="25"/>
      <c r="AM136" s="25"/>
      <c r="AN136" s="25"/>
      <c r="AO136" s="23" t="s">
        <v>22</v>
      </c>
    </row>
    <row r="137" spans="1:41" ht="15" x14ac:dyDescent="0.3">
      <c r="A137" s="26"/>
      <c r="B137" s="1" t="s">
        <v>22</v>
      </c>
      <c r="C137" s="48" t="s">
        <v>22</v>
      </c>
      <c r="D137" s="45" t="s">
        <v>14</v>
      </c>
      <c r="E137" s="27">
        <f t="shared" ref="E137:AH137" ca="1" si="669">IF(E134="P", MOD(E136-E135, 1), " ")</f>
        <v>0.33749999999999991</v>
      </c>
      <c r="F137" s="27" t="str">
        <f t="shared" si="669"/>
        <v xml:space="preserve"> </v>
      </c>
      <c r="G137" s="27">
        <f t="shared" ca="1" si="669"/>
        <v>0.34791666666666676</v>
      </c>
      <c r="H137" s="27">
        <f t="shared" ca="1" si="669"/>
        <v>0.3388888888888888</v>
      </c>
      <c r="I137" s="27">
        <f t="shared" ca="1" si="669"/>
        <v>0.36250000000000004</v>
      </c>
      <c r="J137" s="27">
        <f t="shared" ca="1" si="669"/>
        <v>0.34305555555555556</v>
      </c>
      <c r="K137" s="27">
        <f t="shared" ca="1" si="669"/>
        <v>0.3520833333333333</v>
      </c>
      <c r="L137" s="27">
        <f t="shared" ca="1" si="669"/>
        <v>0.35625000000000007</v>
      </c>
      <c r="M137" s="27" t="str">
        <f t="shared" si="669"/>
        <v xml:space="preserve"> </v>
      </c>
      <c r="N137" s="27">
        <f t="shared" ca="1" si="669"/>
        <v>0.33819444444444435</v>
      </c>
      <c r="O137" s="27">
        <f t="shared" ca="1" si="669"/>
        <v>0.35833333333333339</v>
      </c>
      <c r="P137" s="27">
        <f t="shared" ca="1" si="669"/>
        <v>0.35763888888888895</v>
      </c>
      <c r="Q137" s="27">
        <f t="shared" ca="1" si="669"/>
        <v>0.34236111111111112</v>
      </c>
      <c r="R137" s="27">
        <f t="shared" ca="1" si="669"/>
        <v>0.3618055555555556</v>
      </c>
      <c r="S137" s="27">
        <f t="shared" ca="1" si="669"/>
        <v>0.35763888888888895</v>
      </c>
      <c r="T137" s="27" t="str">
        <f t="shared" si="669"/>
        <v xml:space="preserve"> </v>
      </c>
      <c r="U137" s="27">
        <f t="shared" ca="1" si="669"/>
        <v>0.34930555555555565</v>
      </c>
      <c r="V137" s="27">
        <f t="shared" ca="1" si="669"/>
        <v>0.35763888888888895</v>
      </c>
      <c r="W137" s="27">
        <f t="shared" ca="1" si="669"/>
        <v>0.35</v>
      </c>
      <c r="X137" s="27">
        <f t="shared" ca="1" si="669"/>
        <v>0.35555555555555562</v>
      </c>
      <c r="Y137" s="27">
        <f t="shared" ca="1" si="669"/>
        <v>0.35069444444444442</v>
      </c>
      <c r="Z137" s="27">
        <f t="shared" ca="1" si="669"/>
        <v>0.33611111111111114</v>
      </c>
      <c r="AA137" s="27" t="str">
        <f t="shared" si="669"/>
        <v xml:space="preserve"> </v>
      </c>
      <c r="AB137" s="27">
        <f t="shared" ca="1" si="669"/>
        <v>0.33402777777777781</v>
      </c>
      <c r="AC137" s="27">
        <f t="shared" ca="1" si="669"/>
        <v>0.33333333333333326</v>
      </c>
      <c r="AD137" s="27">
        <f t="shared" ca="1" si="669"/>
        <v>0.35208333333333341</v>
      </c>
      <c r="AE137" s="27">
        <f t="shared" ca="1" si="669"/>
        <v>0.34722222222222221</v>
      </c>
      <c r="AF137" s="27">
        <f t="shared" ca="1" si="669"/>
        <v>0.35138888888888897</v>
      </c>
      <c r="AG137" s="27">
        <f t="shared" ca="1" si="669"/>
        <v>0.34583333333333344</v>
      </c>
      <c r="AH137" s="27" t="str">
        <f t="shared" si="669"/>
        <v xml:space="preserve"> </v>
      </c>
      <c r="AI137" s="27">
        <f t="shared" ca="1" si="622"/>
        <v>0.34583333333333344</v>
      </c>
      <c r="AJ137" s="28">
        <f t="shared" ref="AJ137" ca="1" si="670">AJ134*8</f>
        <v>208</v>
      </c>
      <c r="AK137" s="29"/>
      <c r="AL137" s="29"/>
      <c r="AM137" s="29"/>
      <c r="AN137" s="29"/>
      <c r="AO137" s="23" t="s">
        <v>22</v>
      </c>
    </row>
    <row r="138" spans="1:41" ht="15" x14ac:dyDescent="0.3">
      <c r="A138" s="26"/>
      <c r="B138" s="1" t="s">
        <v>22</v>
      </c>
      <c r="C138" s="48" t="s">
        <v>22</v>
      </c>
      <c r="D138" s="45" t="s">
        <v>19</v>
      </c>
      <c r="E138" s="27" t="str">
        <f t="shared" ref="E138:AH138" ca="1" si="671">IF(E134="P","08:00"," ")</f>
        <v>08:00</v>
      </c>
      <c r="F138" s="27" t="str">
        <f t="shared" si="671"/>
        <v xml:space="preserve"> </v>
      </c>
      <c r="G138" s="27" t="str">
        <f t="shared" ca="1" si="671"/>
        <v>08:00</v>
      </c>
      <c r="H138" s="27" t="str">
        <f t="shared" ca="1" si="671"/>
        <v>08:00</v>
      </c>
      <c r="I138" s="27" t="str">
        <f t="shared" ca="1" si="671"/>
        <v>08:00</v>
      </c>
      <c r="J138" s="27" t="str">
        <f t="shared" ca="1" si="671"/>
        <v>08:00</v>
      </c>
      <c r="K138" s="27" t="str">
        <f t="shared" ca="1" si="671"/>
        <v>08:00</v>
      </c>
      <c r="L138" s="27" t="str">
        <f t="shared" ca="1" si="671"/>
        <v>08:00</v>
      </c>
      <c r="M138" s="27" t="str">
        <f t="shared" si="671"/>
        <v xml:space="preserve"> </v>
      </c>
      <c r="N138" s="27" t="str">
        <f t="shared" ca="1" si="671"/>
        <v>08:00</v>
      </c>
      <c r="O138" s="27" t="str">
        <f t="shared" ca="1" si="671"/>
        <v>08:00</v>
      </c>
      <c r="P138" s="27" t="str">
        <f t="shared" ca="1" si="671"/>
        <v>08:00</v>
      </c>
      <c r="Q138" s="27" t="str">
        <f t="shared" ca="1" si="671"/>
        <v>08:00</v>
      </c>
      <c r="R138" s="27" t="str">
        <f t="shared" ca="1" si="671"/>
        <v>08:00</v>
      </c>
      <c r="S138" s="27" t="str">
        <f t="shared" ca="1" si="671"/>
        <v>08:00</v>
      </c>
      <c r="T138" s="27" t="str">
        <f t="shared" si="671"/>
        <v xml:space="preserve"> </v>
      </c>
      <c r="U138" s="27" t="str">
        <f t="shared" ca="1" si="671"/>
        <v>08:00</v>
      </c>
      <c r="V138" s="27" t="str">
        <f t="shared" ca="1" si="671"/>
        <v>08:00</v>
      </c>
      <c r="W138" s="27" t="str">
        <f t="shared" ca="1" si="671"/>
        <v>08:00</v>
      </c>
      <c r="X138" s="27" t="str">
        <f t="shared" ca="1" si="671"/>
        <v>08:00</v>
      </c>
      <c r="Y138" s="27" t="str">
        <f t="shared" ca="1" si="671"/>
        <v>08:00</v>
      </c>
      <c r="Z138" s="27" t="str">
        <f t="shared" ca="1" si="671"/>
        <v>08:00</v>
      </c>
      <c r="AA138" s="27" t="str">
        <f t="shared" si="671"/>
        <v xml:space="preserve"> </v>
      </c>
      <c r="AB138" s="27" t="str">
        <f t="shared" ca="1" si="671"/>
        <v>08:00</v>
      </c>
      <c r="AC138" s="27" t="str">
        <f t="shared" ca="1" si="671"/>
        <v>08:00</v>
      </c>
      <c r="AD138" s="27" t="str">
        <f t="shared" ca="1" si="671"/>
        <v>08:00</v>
      </c>
      <c r="AE138" s="27" t="str">
        <f t="shared" ca="1" si="671"/>
        <v>08:00</v>
      </c>
      <c r="AF138" s="27" t="str">
        <f t="shared" ca="1" si="671"/>
        <v>08:00</v>
      </c>
      <c r="AG138" s="27" t="str">
        <f t="shared" ca="1" si="671"/>
        <v>08:00</v>
      </c>
      <c r="AH138" s="27" t="str">
        <f t="shared" si="671"/>
        <v xml:space="preserve"> </v>
      </c>
      <c r="AI138" s="27" t="str">
        <f t="shared" ca="1" si="624"/>
        <v>08:00</v>
      </c>
      <c r="AJ138" s="28"/>
      <c r="AK138" s="29"/>
      <c r="AL138" s="29"/>
      <c r="AM138" s="29"/>
      <c r="AN138" s="29"/>
      <c r="AO138" s="23" t="s">
        <v>22</v>
      </c>
    </row>
    <row r="139" spans="1:41" ht="15" x14ac:dyDescent="0.3">
      <c r="A139" s="26"/>
      <c r="B139" s="1" t="s">
        <v>22</v>
      </c>
      <c r="C139" s="48" t="s">
        <v>22</v>
      </c>
      <c r="D139" s="45" t="s">
        <v>12</v>
      </c>
      <c r="E139" s="27" t="str">
        <f t="shared" ref="E139:AH139" ca="1" si="672">IF(E134="P","01:00"," ")</f>
        <v>01:00</v>
      </c>
      <c r="F139" s="27" t="str">
        <f t="shared" si="672"/>
        <v xml:space="preserve"> </v>
      </c>
      <c r="G139" s="27" t="str">
        <f t="shared" ca="1" si="672"/>
        <v>01:00</v>
      </c>
      <c r="H139" s="27" t="str">
        <f t="shared" ca="1" si="672"/>
        <v>01:00</v>
      </c>
      <c r="I139" s="27" t="str">
        <f t="shared" ca="1" si="672"/>
        <v>01:00</v>
      </c>
      <c r="J139" s="27" t="str">
        <f t="shared" ca="1" si="672"/>
        <v>01:00</v>
      </c>
      <c r="K139" s="27" t="str">
        <f t="shared" ca="1" si="672"/>
        <v>01:00</v>
      </c>
      <c r="L139" s="27" t="str">
        <f t="shared" ca="1" si="672"/>
        <v>01:00</v>
      </c>
      <c r="M139" s="27" t="str">
        <f t="shared" si="672"/>
        <v xml:space="preserve"> </v>
      </c>
      <c r="N139" s="27" t="str">
        <f t="shared" ca="1" si="672"/>
        <v>01:00</v>
      </c>
      <c r="O139" s="27" t="str">
        <f t="shared" ca="1" si="672"/>
        <v>01:00</v>
      </c>
      <c r="P139" s="27" t="str">
        <f t="shared" ca="1" si="672"/>
        <v>01:00</v>
      </c>
      <c r="Q139" s="27" t="str">
        <f t="shared" ca="1" si="672"/>
        <v>01:00</v>
      </c>
      <c r="R139" s="27" t="str">
        <f t="shared" ca="1" si="672"/>
        <v>01:00</v>
      </c>
      <c r="S139" s="27" t="str">
        <f t="shared" ca="1" si="672"/>
        <v>01:00</v>
      </c>
      <c r="T139" s="27" t="str">
        <f t="shared" si="672"/>
        <v xml:space="preserve"> </v>
      </c>
      <c r="U139" s="27" t="str">
        <f t="shared" ca="1" si="672"/>
        <v>01:00</v>
      </c>
      <c r="V139" s="27" t="str">
        <f t="shared" ca="1" si="672"/>
        <v>01:00</v>
      </c>
      <c r="W139" s="27" t="str">
        <f t="shared" ca="1" si="672"/>
        <v>01:00</v>
      </c>
      <c r="X139" s="27" t="str">
        <f t="shared" ca="1" si="672"/>
        <v>01:00</v>
      </c>
      <c r="Y139" s="27" t="str">
        <f t="shared" ca="1" si="672"/>
        <v>01:00</v>
      </c>
      <c r="Z139" s="27" t="str">
        <f t="shared" ca="1" si="672"/>
        <v>01:00</v>
      </c>
      <c r="AA139" s="27" t="str">
        <f t="shared" si="672"/>
        <v xml:space="preserve"> </v>
      </c>
      <c r="AB139" s="27" t="str">
        <f t="shared" ca="1" si="672"/>
        <v>01:00</v>
      </c>
      <c r="AC139" s="27" t="str">
        <f t="shared" ca="1" si="672"/>
        <v>01:00</v>
      </c>
      <c r="AD139" s="27" t="str">
        <f t="shared" ca="1" si="672"/>
        <v>01:00</v>
      </c>
      <c r="AE139" s="27" t="str">
        <f t="shared" ca="1" si="672"/>
        <v>01:00</v>
      </c>
      <c r="AF139" s="27" t="str">
        <f t="shared" ca="1" si="672"/>
        <v>01:00</v>
      </c>
      <c r="AG139" s="27" t="str">
        <f t="shared" ca="1" si="672"/>
        <v>01:00</v>
      </c>
      <c r="AH139" s="27" t="str">
        <f t="shared" si="672"/>
        <v xml:space="preserve"> </v>
      </c>
      <c r="AI139" s="27" t="str">
        <f t="shared" ca="1" si="625"/>
        <v>01:00</v>
      </c>
      <c r="AJ139" s="24" t="s">
        <v>11</v>
      </c>
      <c r="AK139" s="25"/>
      <c r="AL139" s="25"/>
      <c r="AM139" s="25"/>
      <c r="AN139" s="25"/>
      <c r="AO139" s="23" t="s">
        <v>22</v>
      </c>
    </row>
    <row r="140" spans="1:41" ht="15" x14ac:dyDescent="0.3">
      <c r="A140" s="26"/>
      <c r="B140" s="1" t="s">
        <v>22</v>
      </c>
      <c r="C140" s="48" t="s">
        <v>22</v>
      </c>
      <c r="D140" s="45" t="s">
        <v>11</v>
      </c>
      <c r="E140" s="27">
        <f t="shared" ref="E140:AH140" ca="1" si="673">IF(E134="P",E137-E139," ")</f>
        <v>0.29583333333333323</v>
      </c>
      <c r="F140" s="27" t="str">
        <f t="shared" si="673"/>
        <v xml:space="preserve"> </v>
      </c>
      <c r="G140" s="27">
        <f t="shared" ca="1" si="673"/>
        <v>0.30625000000000008</v>
      </c>
      <c r="H140" s="27">
        <f t="shared" ca="1" si="673"/>
        <v>0.29722222222222211</v>
      </c>
      <c r="I140" s="27">
        <f t="shared" ca="1" si="673"/>
        <v>0.32083333333333336</v>
      </c>
      <c r="J140" s="27">
        <f t="shared" ca="1" si="673"/>
        <v>0.30138888888888887</v>
      </c>
      <c r="K140" s="27">
        <f t="shared" ca="1" si="673"/>
        <v>0.31041666666666662</v>
      </c>
      <c r="L140" s="27">
        <f t="shared" ca="1" si="673"/>
        <v>0.31458333333333338</v>
      </c>
      <c r="M140" s="27" t="str">
        <f t="shared" si="673"/>
        <v xml:space="preserve"> </v>
      </c>
      <c r="N140" s="27">
        <f t="shared" ca="1" si="673"/>
        <v>0.29652777777777767</v>
      </c>
      <c r="O140" s="27">
        <f t="shared" ca="1" si="673"/>
        <v>0.31666666666666671</v>
      </c>
      <c r="P140" s="27">
        <f t="shared" ca="1" si="673"/>
        <v>0.31597222222222227</v>
      </c>
      <c r="Q140" s="27">
        <f t="shared" ca="1" si="673"/>
        <v>0.30069444444444443</v>
      </c>
      <c r="R140" s="27">
        <f t="shared" ca="1" si="673"/>
        <v>0.32013888888888892</v>
      </c>
      <c r="S140" s="27">
        <f t="shared" ca="1" si="673"/>
        <v>0.31597222222222227</v>
      </c>
      <c r="T140" s="27" t="str">
        <f t="shared" si="673"/>
        <v xml:space="preserve"> </v>
      </c>
      <c r="U140" s="27">
        <f t="shared" ca="1" si="673"/>
        <v>0.30763888888888896</v>
      </c>
      <c r="V140" s="27">
        <f t="shared" ca="1" si="673"/>
        <v>0.31597222222222227</v>
      </c>
      <c r="W140" s="27">
        <f t="shared" ca="1" si="673"/>
        <v>0.30833333333333329</v>
      </c>
      <c r="X140" s="27">
        <f t="shared" ca="1" si="673"/>
        <v>0.31388888888888894</v>
      </c>
      <c r="Y140" s="27">
        <f t="shared" ca="1" si="673"/>
        <v>0.30902777777777773</v>
      </c>
      <c r="Z140" s="27">
        <f t="shared" ca="1" si="673"/>
        <v>0.29444444444444445</v>
      </c>
      <c r="AA140" s="27" t="str">
        <f t="shared" si="673"/>
        <v xml:space="preserve"> </v>
      </c>
      <c r="AB140" s="27">
        <f t="shared" ca="1" si="673"/>
        <v>0.29236111111111113</v>
      </c>
      <c r="AC140" s="27">
        <f t="shared" ca="1" si="673"/>
        <v>0.29166666666666657</v>
      </c>
      <c r="AD140" s="27">
        <f t="shared" ca="1" si="673"/>
        <v>0.31041666666666673</v>
      </c>
      <c r="AE140" s="27">
        <f t="shared" ca="1" si="673"/>
        <v>0.30555555555555552</v>
      </c>
      <c r="AF140" s="27">
        <f t="shared" ca="1" si="673"/>
        <v>0.30972222222222229</v>
      </c>
      <c r="AG140" s="27">
        <f t="shared" ca="1" si="673"/>
        <v>0.30416666666666675</v>
      </c>
      <c r="AH140" s="27" t="str">
        <f t="shared" si="673"/>
        <v xml:space="preserve"> </v>
      </c>
      <c r="AI140" s="27">
        <f t="shared" ca="1" si="626"/>
        <v>0.30416666666666675</v>
      </c>
      <c r="AJ140" s="30">
        <f t="shared" ref="AJ140:AJ141" ca="1" si="674">SUM(E140:AH140)</f>
        <v>7.6756944444444448</v>
      </c>
      <c r="AK140" s="25"/>
      <c r="AL140" s="25"/>
      <c r="AM140" s="25"/>
      <c r="AN140" s="25"/>
      <c r="AO140" s="23" t="s">
        <v>22</v>
      </c>
    </row>
    <row r="141" spans="1:41" ht="15.6" thickBot="1" x14ac:dyDescent="0.35">
      <c r="A141" s="31"/>
      <c r="B141" s="32" t="s">
        <v>22</v>
      </c>
      <c r="C141" s="49" t="s">
        <v>22</v>
      </c>
      <c r="D141" s="46" t="s">
        <v>20</v>
      </c>
      <c r="E141" s="33">
        <f t="shared" ref="E141:AH141" ca="1" si="675">IF(E134="P",(IF(E138&gt;E140,0,E140-E138))," ")</f>
        <v>0</v>
      </c>
      <c r="F141" s="33" t="str">
        <f t="shared" si="675"/>
        <v xml:space="preserve"> </v>
      </c>
      <c r="G141" s="33">
        <f t="shared" ca="1" si="675"/>
        <v>0</v>
      </c>
      <c r="H141" s="33">
        <f t="shared" ca="1" si="675"/>
        <v>0</v>
      </c>
      <c r="I141" s="33">
        <f t="shared" ca="1" si="675"/>
        <v>0</v>
      </c>
      <c r="J141" s="33">
        <f t="shared" ca="1" si="675"/>
        <v>0</v>
      </c>
      <c r="K141" s="33">
        <f t="shared" ca="1" si="675"/>
        <v>0</v>
      </c>
      <c r="L141" s="33">
        <f t="shared" ca="1" si="675"/>
        <v>0</v>
      </c>
      <c r="M141" s="33" t="str">
        <f t="shared" si="675"/>
        <v xml:space="preserve"> </v>
      </c>
      <c r="N141" s="33">
        <f t="shared" ca="1" si="675"/>
        <v>0</v>
      </c>
      <c r="O141" s="33">
        <f t="shared" ca="1" si="675"/>
        <v>0</v>
      </c>
      <c r="P141" s="33">
        <f t="shared" ca="1" si="675"/>
        <v>0</v>
      </c>
      <c r="Q141" s="33">
        <f t="shared" ca="1" si="675"/>
        <v>0</v>
      </c>
      <c r="R141" s="33">
        <f t="shared" ca="1" si="675"/>
        <v>0</v>
      </c>
      <c r="S141" s="33">
        <f t="shared" ca="1" si="675"/>
        <v>0</v>
      </c>
      <c r="T141" s="33" t="str">
        <f t="shared" si="675"/>
        <v xml:space="preserve"> </v>
      </c>
      <c r="U141" s="33">
        <f t="shared" ca="1" si="675"/>
        <v>0</v>
      </c>
      <c r="V141" s="33">
        <f t="shared" ca="1" si="675"/>
        <v>0</v>
      </c>
      <c r="W141" s="33">
        <f t="shared" ca="1" si="675"/>
        <v>0</v>
      </c>
      <c r="X141" s="33">
        <f t="shared" ca="1" si="675"/>
        <v>0</v>
      </c>
      <c r="Y141" s="33">
        <f t="shared" ca="1" si="675"/>
        <v>0</v>
      </c>
      <c r="Z141" s="33">
        <f t="shared" ca="1" si="675"/>
        <v>0</v>
      </c>
      <c r="AA141" s="33" t="str">
        <f t="shared" si="675"/>
        <v xml:space="preserve"> </v>
      </c>
      <c r="AB141" s="33">
        <f t="shared" ca="1" si="675"/>
        <v>0</v>
      </c>
      <c r="AC141" s="33">
        <f t="shared" ca="1" si="675"/>
        <v>0</v>
      </c>
      <c r="AD141" s="33">
        <f t="shared" ca="1" si="675"/>
        <v>0</v>
      </c>
      <c r="AE141" s="33">
        <f t="shared" ca="1" si="675"/>
        <v>0</v>
      </c>
      <c r="AF141" s="33">
        <f t="shared" ca="1" si="675"/>
        <v>0</v>
      </c>
      <c r="AG141" s="33">
        <f t="shared" ca="1" si="675"/>
        <v>0</v>
      </c>
      <c r="AH141" s="33" t="str">
        <f t="shared" si="675"/>
        <v xml:space="preserve"> </v>
      </c>
      <c r="AI141" s="33">
        <f t="shared" ca="1" si="628"/>
        <v>0</v>
      </c>
      <c r="AJ141" s="34">
        <f t="shared" ca="1" si="674"/>
        <v>0</v>
      </c>
      <c r="AK141" s="35"/>
      <c r="AL141" s="35"/>
      <c r="AM141" s="35"/>
      <c r="AN141" s="35"/>
      <c r="AO141" s="36" t="s">
        <v>22</v>
      </c>
    </row>
    <row r="142" spans="1:41" ht="15.6" thickBot="1" x14ac:dyDescent="0.35">
      <c r="A142" s="14"/>
      <c r="B142" s="15" t="s">
        <v>22</v>
      </c>
      <c r="C142" s="47" t="s">
        <v>22</v>
      </c>
      <c r="D142" s="37" t="s">
        <v>3</v>
      </c>
      <c r="E142" s="9">
        <f t="shared" ref="E142:T142" ca="1" si="676">IF(OR(E$5="",E$5=0),-2,IF(E$6=$D143,-1,RAND()))</f>
        <v>0.23255000942891302</v>
      </c>
      <c r="F142" s="9">
        <f t="shared" ca="1" si="676"/>
        <v>-1</v>
      </c>
      <c r="G142" s="9">
        <f t="shared" ca="1" si="676"/>
        <v>0.52301889813259694</v>
      </c>
      <c r="H142" s="9">
        <f t="shared" ca="1" si="676"/>
        <v>0.15650449486959361</v>
      </c>
      <c r="I142" s="9">
        <f t="shared" ca="1" si="676"/>
        <v>0.6339164270957327</v>
      </c>
      <c r="J142" s="9">
        <f t="shared" ca="1" si="676"/>
        <v>0.70053307142741339</v>
      </c>
      <c r="K142" s="9">
        <f t="shared" ca="1" si="676"/>
        <v>0.54240090816950826</v>
      </c>
      <c r="L142" s="9">
        <f t="shared" ca="1" si="676"/>
        <v>0.24562040284546771</v>
      </c>
      <c r="M142" s="9">
        <f t="shared" ca="1" si="676"/>
        <v>-1</v>
      </c>
      <c r="N142" s="9">
        <f t="shared" ca="1" si="676"/>
        <v>0.60340355988535122</v>
      </c>
      <c r="O142" s="9">
        <f t="shared" ca="1" si="676"/>
        <v>0.23552438420677402</v>
      </c>
      <c r="P142" s="9">
        <f t="shared" ca="1" si="676"/>
        <v>0.22459849682223842</v>
      </c>
      <c r="Q142" s="9">
        <f t="shared" ca="1" si="676"/>
        <v>0.74978624200605115</v>
      </c>
      <c r="R142" s="9">
        <f t="shared" ca="1" si="676"/>
        <v>3.7670504006345751E-2</v>
      </c>
      <c r="S142" s="9">
        <f t="shared" ca="1" si="676"/>
        <v>0.71293468616316868</v>
      </c>
      <c r="T142" s="9">
        <f t="shared" ca="1" si="676"/>
        <v>-1</v>
      </c>
      <c r="U142" s="9">
        <f t="shared" ref="U142:AI142" ca="1" si="677">IF(OR(U$5="",U$5=0),-2,IF(U$6=$D143,-1,RAND()))</f>
        <v>0.51651119039243376</v>
      </c>
      <c r="V142" s="9">
        <f t="shared" ca="1" si="677"/>
        <v>0.65530512395781215</v>
      </c>
      <c r="W142" s="9">
        <f t="shared" ca="1" si="677"/>
        <v>0.44086766628192586</v>
      </c>
      <c r="X142" s="9">
        <f t="shared" ca="1" si="677"/>
        <v>9.4206409955291504E-2</v>
      </c>
      <c r="Y142" s="9">
        <f t="shared" ca="1" si="677"/>
        <v>0.30646146819864284</v>
      </c>
      <c r="Z142" s="9">
        <f t="shared" ca="1" si="677"/>
        <v>0.65576138435495235</v>
      </c>
      <c r="AA142" s="9">
        <f t="shared" ca="1" si="677"/>
        <v>-1</v>
      </c>
      <c r="AB142" s="9">
        <f t="shared" ca="1" si="677"/>
        <v>0.14993239111618017</v>
      </c>
      <c r="AC142" s="9">
        <f t="shared" ca="1" si="677"/>
        <v>0.69447033376127021</v>
      </c>
      <c r="AD142" s="9">
        <f t="shared" ca="1" si="677"/>
        <v>0.12872918712166037</v>
      </c>
      <c r="AE142" s="9">
        <f t="shared" ca="1" si="677"/>
        <v>8.3535679154183362E-2</v>
      </c>
      <c r="AF142" s="9">
        <f t="shared" ca="1" si="677"/>
        <v>0.15701354914901389</v>
      </c>
      <c r="AG142" s="9">
        <f t="shared" ca="1" si="677"/>
        <v>0.91983860307699294</v>
      </c>
      <c r="AH142" s="9">
        <f t="shared" ca="1" si="677"/>
        <v>-1</v>
      </c>
      <c r="AI142" s="9">
        <f t="shared" ca="1" si="677"/>
        <v>0.90621529121512712</v>
      </c>
      <c r="AJ142" s="38"/>
      <c r="AK142" s="37"/>
      <c r="AL142" s="37"/>
      <c r="AM142" s="37"/>
      <c r="AN142" s="37"/>
      <c r="AO142" s="39" t="s">
        <v>22</v>
      </c>
    </row>
    <row r="143" spans="1:41" ht="15.6" thickBot="1" x14ac:dyDescent="0.35">
      <c r="A143" s="42"/>
      <c r="B143" s="44" t="s">
        <v>37</v>
      </c>
      <c r="C143" s="43" t="s">
        <v>59</v>
      </c>
      <c r="D143" s="37" t="s">
        <v>68</v>
      </c>
      <c r="E143" s="9" t="str">
        <f t="shared" ref="E143" ca="1" si="678">IF(OR(E$5="",E$5=0),"",IF(E$6=$D143,"W",IF(_xlfn.RANK.EQ(E142,$E142:$AI142,0)&lt;=INT($AO143),"P",IF(AND(_xlfn.RANK.EQ(E142,$E142:$AI142,0)=INT($AO143)+1,MOD($AO143,1)=0.5),"H","A"))))</f>
        <v>A</v>
      </c>
      <c r="F143" s="9" t="str">
        <f t="shared" ref="F143" si="679">IF(OR(F$5="",F$5=0),"",IF(F$6=$D143,"W",IF(_xlfn.RANK.EQ(F142,$E142:$AI142,0)&lt;=INT($AO143),"P",IF(AND(_xlfn.RANK.EQ(F142,$E142:$AI142,0)=INT($AO143)+1,MOD($AO143,1)=0.5),"H","A"))))</f>
        <v>W</v>
      </c>
      <c r="G143" s="9" t="str">
        <f t="shared" ref="G143" ca="1" si="680">IF(OR(G$5="",G$5=0),"",IF(G$6=$D143,"W",IF(_xlfn.RANK.EQ(G142,$E142:$AI142,0)&lt;=INT($AO143),"P",IF(AND(_xlfn.RANK.EQ(G142,$E142:$AI142,0)=INT($AO143)+1,MOD($AO143,1)=0.5),"H","A"))))</f>
        <v>P</v>
      </c>
      <c r="H143" s="9" t="str">
        <f t="shared" ref="H143" ca="1" si="681">IF(OR(H$5="",H$5=0),"",IF(H$6=$D143,"W",IF(_xlfn.RANK.EQ(H142,$E142:$AI142,0)&lt;=INT($AO143),"P",IF(AND(_xlfn.RANK.EQ(H142,$E142:$AI142,0)=INT($AO143)+1,MOD($AO143,1)=0.5),"H","A"))))</f>
        <v>A</v>
      </c>
      <c r="I143" s="9" t="str">
        <f t="shared" ref="I143" ca="1" si="682">IF(OR(I$5="",I$5=0),"",IF(I$6=$D143,"W",IF(_xlfn.RANK.EQ(I142,$E142:$AI142,0)&lt;=INT($AO143),"P",IF(AND(_xlfn.RANK.EQ(I142,$E142:$AI142,0)=INT($AO143)+1,MOD($AO143,1)=0.5),"H","A"))))</f>
        <v>P</v>
      </c>
      <c r="J143" s="9" t="str">
        <f t="shared" ref="J143" ca="1" si="683">IF(OR(J$5="",J$5=0),"",IF(J$6=$D143,"W",IF(_xlfn.RANK.EQ(J142,$E142:$AI142,0)&lt;=INT($AO143),"P",IF(AND(_xlfn.RANK.EQ(J142,$E142:$AI142,0)=INT($AO143)+1,MOD($AO143,1)=0.5),"H","A"))))</f>
        <v>P</v>
      </c>
      <c r="K143" s="9" t="str">
        <f t="shared" ref="K143" ca="1" si="684">IF(OR(K$5="",K$5=0),"",IF(K$6=$D143,"W",IF(_xlfn.RANK.EQ(K142,$E142:$AI142,0)&lt;=INT($AO143),"P",IF(AND(_xlfn.RANK.EQ(K142,$E142:$AI142,0)=INT($AO143)+1,MOD($AO143,1)=0.5),"H","A"))))</f>
        <v>P</v>
      </c>
      <c r="L143" s="9" t="str">
        <f t="shared" ref="L143" ca="1" si="685">IF(OR(L$5="",L$5=0),"",IF(L$6=$D143,"W",IF(_xlfn.RANK.EQ(L142,$E142:$AI142,0)&lt;=INT($AO143),"P",IF(AND(_xlfn.RANK.EQ(L142,$E142:$AI142,0)=INT($AO143)+1,MOD($AO143,1)=0.5),"H","A"))))</f>
        <v>A</v>
      </c>
      <c r="M143" s="9" t="str">
        <f t="shared" ref="M143" si="686">IF(OR(M$5="",M$5=0),"",IF(M$6=$D143,"W",IF(_xlfn.RANK.EQ(M142,$E142:$AI142,0)&lt;=INT($AO143),"P",IF(AND(_xlfn.RANK.EQ(M142,$E142:$AI142,0)=INT($AO143)+1,MOD($AO143,1)=0.5),"H","A"))))</f>
        <v>W</v>
      </c>
      <c r="N143" s="9" t="str">
        <f t="shared" ref="N143" ca="1" si="687">IF(OR(N$5="",N$5=0),"",IF(N$6=$D143,"W",IF(_xlfn.RANK.EQ(N142,$E142:$AI142,0)&lt;=INT($AO143),"P",IF(AND(_xlfn.RANK.EQ(N142,$E142:$AI142,0)=INT($AO143)+1,MOD($AO143,1)=0.5),"H","A"))))</f>
        <v>P</v>
      </c>
      <c r="O143" s="9" t="str">
        <f t="shared" ref="O143" ca="1" si="688">IF(OR(O$5="",O$5=0),"",IF(O$6=$D143,"W",IF(_xlfn.RANK.EQ(O142,$E142:$AI142,0)&lt;=INT($AO143),"P",IF(AND(_xlfn.RANK.EQ(O142,$E142:$AI142,0)=INT($AO143)+1,MOD($AO143,1)=0.5),"H","A"))))</f>
        <v>A</v>
      </c>
      <c r="P143" s="9" t="str">
        <f t="shared" ref="P143" ca="1" si="689">IF(OR(P$5="",P$5=0),"",IF(P$6=$D143,"W",IF(_xlfn.RANK.EQ(P142,$E142:$AI142,0)&lt;=INT($AO143),"P",IF(AND(_xlfn.RANK.EQ(P142,$E142:$AI142,0)=INT($AO143)+1,MOD($AO143,1)=0.5),"H","A"))))</f>
        <v>A</v>
      </c>
      <c r="Q143" s="9" t="str">
        <f t="shared" ref="Q143" ca="1" si="690">IF(OR(Q$5="",Q$5=0),"",IF(Q$6=$D143,"W",IF(_xlfn.RANK.EQ(Q142,$E142:$AI142,0)&lt;=INT($AO143),"P",IF(AND(_xlfn.RANK.EQ(Q142,$E142:$AI142,0)=INT($AO143)+1,MOD($AO143,1)=0.5),"H","A"))))</f>
        <v>P</v>
      </c>
      <c r="R143" s="9" t="str">
        <f t="shared" ref="R143" ca="1" si="691">IF(OR(R$5="",R$5=0),"",IF(R$6=$D143,"W",IF(_xlfn.RANK.EQ(R142,$E142:$AI142,0)&lt;=INT($AO143),"P",IF(AND(_xlfn.RANK.EQ(R142,$E142:$AI142,0)=INT($AO143)+1,MOD($AO143,1)=0.5),"H","A"))))</f>
        <v>A</v>
      </c>
      <c r="S143" s="9" t="str">
        <f t="shared" ref="S143" ca="1" si="692">IF(OR(S$5="",S$5=0),"",IF(S$6=$D143,"W",IF(_xlfn.RANK.EQ(S142,$E142:$AI142,0)&lt;=INT($AO143),"P",IF(AND(_xlfn.RANK.EQ(S142,$E142:$AI142,0)=INT($AO143)+1,MOD($AO143,1)=0.5),"H","A"))))</f>
        <v>P</v>
      </c>
      <c r="T143" s="9" t="str">
        <f t="shared" ref="T143" si="693">IF(OR(T$5="",T$5=0),"",IF(T$6=$D143,"W",IF(_xlfn.RANK.EQ(T142,$E142:$AI142,0)&lt;=INT($AO143),"P",IF(AND(_xlfn.RANK.EQ(T142,$E142:$AI142,0)=INT($AO143)+1,MOD($AO143,1)=0.5),"H","A"))))</f>
        <v>W</v>
      </c>
      <c r="U143" s="9" t="str">
        <f t="shared" ref="U143" ca="1" si="694">IF(OR(U$5="",U$5=0),"",IF(U$6=$D143,"W",IF(_xlfn.RANK.EQ(U142,$E142:$AI142,0)&lt;=INT($AO143),"P",IF(AND(_xlfn.RANK.EQ(U142,$E142:$AI142,0)=INT($AO143)+1,MOD($AO143,1)=0.5),"H","A"))))</f>
        <v>P</v>
      </c>
      <c r="V143" s="9" t="str">
        <f t="shared" ref="V143" ca="1" si="695">IF(OR(V$5="",V$5=0),"",IF(V$6=$D143,"W",IF(_xlfn.RANK.EQ(V142,$E142:$AI142,0)&lt;=INT($AO143),"P",IF(AND(_xlfn.RANK.EQ(V142,$E142:$AI142,0)=INT($AO143)+1,MOD($AO143,1)=0.5),"H","A"))))</f>
        <v>P</v>
      </c>
      <c r="W143" s="9" t="str">
        <f t="shared" ref="W143" ca="1" si="696">IF(OR(W$5="",W$5=0),"",IF(W$6=$D143,"W",IF(_xlfn.RANK.EQ(W142,$E142:$AI142,0)&lt;=INT($AO143),"P",IF(AND(_xlfn.RANK.EQ(W142,$E142:$AI142,0)=INT($AO143)+1,MOD($AO143,1)=0.5),"H","A"))))</f>
        <v>P</v>
      </c>
      <c r="X143" s="9" t="str">
        <f t="shared" ref="X143" ca="1" si="697">IF(OR(X$5="",X$5=0),"",IF(X$6=$D143,"W",IF(_xlfn.RANK.EQ(X142,$E142:$AI142,0)&lt;=INT($AO143),"P",IF(AND(_xlfn.RANK.EQ(X142,$E142:$AI142,0)=INT($AO143)+1,MOD($AO143,1)=0.5),"H","A"))))</f>
        <v>A</v>
      </c>
      <c r="Y143" s="9" t="str">
        <f t="shared" ref="Y143" ca="1" si="698">IF(OR(Y$5="",Y$5=0),"",IF(Y$6=$D143,"W",IF(_xlfn.RANK.EQ(Y142,$E142:$AI142,0)&lt;=INT($AO143),"P",IF(AND(_xlfn.RANK.EQ(Y142,$E142:$AI142,0)=INT($AO143)+1,MOD($AO143,1)=0.5),"H","A"))))</f>
        <v>P</v>
      </c>
      <c r="Z143" s="9" t="str">
        <f t="shared" ref="Z143" ca="1" si="699">IF(OR(Z$5="",Z$5=0),"",IF(Z$6=$D143,"W",IF(_xlfn.RANK.EQ(Z142,$E142:$AI142,0)&lt;=INT($AO143),"P",IF(AND(_xlfn.RANK.EQ(Z142,$E142:$AI142,0)=INT($AO143)+1,MOD($AO143,1)=0.5),"H","A"))))</f>
        <v>P</v>
      </c>
      <c r="AA143" s="9" t="str">
        <f t="shared" ref="AA143" si="700">IF(OR(AA$5="",AA$5=0),"",IF(AA$6=$D143,"W",IF(_xlfn.RANK.EQ(AA142,$E142:$AI142,0)&lt;=INT($AO143),"P",IF(AND(_xlfn.RANK.EQ(AA142,$E142:$AI142,0)=INT($AO143)+1,MOD($AO143,1)=0.5),"H","A"))))</f>
        <v>W</v>
      </c>
      <c r="AB143" s="9" t="str">
        <f t="shared" ref="AB143" ca="1" si="701">IF(OR(AB$5="",AB$5=0),"",IF(AB$6=$D143,"W",IF(_xlfn.RANK.EQ(AB142,$E142:$AI142,0)&lt;=INT($AO143),"P",IF(AND(_xlfn.RANK.EQ(AB142,$E142:$AI142,0)=INT($AO143)+1,MOD($AO143,1)=0.5),"H","A"))))</f>
        <v>A</v>
      </c>
      <c r="AC143" s="9" t="str">
        <f t="shared" ref="AC143" ca="1" si="702">IF(OR(AC$5="",AC$5=0),"",IF(AC$6=$D143,"W",IF(_xlfn.RANK.EQ(AC142,$E142:$AI142,0)&lt;=INT($AO143),"P",IF(AND(_xlfn.RANK.EQ(AC142,$E142:$AI142,0)=INT($AO143)+1,MOD($AO143,1)=0.5),"H","A"))))</f>
        <v>P</v>
      </c>
      <c r="AD143" s="9" t="str">
        <f t="shared" ref="AD143" ca="1" si="703">IF(OR(AD$5="",AD$5=0),"",IF(AD$6=$D143,"W",IF(_xlfn.RANK.EQ(AD142,$E142:$AI142,0)&lt;=INT($AO143),"P",IF(AND(_xlfn.RANK.EQ(AD142,$E142:$AI142,0)=INT($AO143)+1,MOD($AO143,1)=0.5),"H","A"))))</f>
        <v>A</v>
      </c>
      <c r="AE143" s="9" t="str">
        <f t="shared" ref="AE143" ca="1" si="704">IF(OR(AE$5="",AE$5=0),"",IF(AE$6=$D143,"W",IF(_xlfn.RANK.EQ(AE142,$E142:$AI142,0)&lt;=INT($AO143),"P",IF(AND(_xlfn.RANK.EQ(AE142,$E142:$AI142,0)=INT($AO143)+1,MOD($AO143,1)=0.5),"H","A"))))</f>
        <v>A</v>
      </c>
      <c r="AF143" s="9" t="str">
        <f t="shared" ref="AF143" ca="1" si="705">IF(OR(AF$5="",AF$5=0),"",IF(AF$6=$D143,"W",IF(_xlfn.RANK.EQ(AF142,$E142:$AI142,0)&lt;=INT($AO143),"P",IF(AND(_xlfn.RANK.EQ(AF142,$E142:$AI142,0)=INT($AO143)+1,MOD($AO143,1)=0.5),"H","A"))))</f>
        <v>A</v>
      </c>
      <c r="AG143" s="9" t="str">
        <f t="shared" ref="AG143" ca="1" si="706">IF(OR(AG$5="",AG$5=0),"",IF(AG$6=$D143,"W",IF(_xlfn.RANK.EQ(AG142,$E142:$AI142,0)&lt;=INT($AO143),"P",IF(AND(_xlfn.RANK.EQ(AG142,$E142:$AI142,0)=INT($AO143)+1,MOD($AO143,1)=0.5),"H","A"))))</f>
        <v>P</v>
      </c>
      <c r="AH143" s="9" t="str">
        <f t="shared" ref="AH143" si="707">IF(OR(AH$5="",AH$5=0),"",IF(AH$6=$D143,"W",IF(_xlfn.RANK.EQ(AH142,$E142:$AI142,0)&lt;=INT($AO143),"P",IF(AND(_xlfn.RANK.EQ(AH142,$E142:$AI142,0)=INT($AO143)+1,MOD($AO143,1)=0.5),"H","A"))))</f>
        <v>W</v>
      </c>
      <c r="AI143" s="9" t="str">
        <f t="shared" ref="AI143" ca="1" si="708">IF(OR(AI$5="",AI$5=0),"",IF(AI$6=$D143,"W",IF(_xlfn.RANK.EQ(AI142,$E142:$AI142,0)&lt;=INT($AO143),"P",IF(AND(_xlfn.RANK.EQ(AI142,$E142:$AI142,0)=INT($AO143)+1,MOD($AO143,1)=0.5),"H","A"))))</f>
        <v>P</v>
      </c>
      <c r="AJ143" s="16">
        <f t="shared" ref="AJ143" ca="1" si="709">COUNTIF(E143:AI143, "P")</f>
        <v>15</v>
      </c>
      <c r="AK143" s="17">
        <f t="shared" ref="AK143" ca="1" si="710">COUNTIF(E143:AH143, "A")</f>
        <v>11</v>
      </c>
      <c r="AL143" s="17">
        <f t="shared" ref="AL143" ca="1" si="711">COUNTIF(E143:AH143, "W")</f>
        <v>5</v>
      </c>
      <c r="AM143" s="17">
        <f t="shared" ref="AM143" ca="1" si="712">COUNTIF(E143:AH143, "H")</f>
        <v>0</v>
      </c>
      <c r="AN143" s="17">
        <f t="shared" ref="AN143" ca="1" si="713">COUNTIF(E143:AH143, "PL")</f>
        <v>0</v>
      </c>
      <c r="AO143" s="18">
        <v>15</v>
      </c>
    </row>
    <row r="144" spans="1:41" ht="15" x14ac:dyDescent="0.3">
      <c r="A144" s="19"/>
      <c r="B144" s="1" t="s">
        <v>22</v>
      </c>
      <c r="C144" s="48" t="s">
        <v>22</v>
      </c>
      <c r="D144" s="45" t="s">
        <v>1</v>
      </c>
      <c r="E144" s="20" t="str">
        <f t="shared" ref="E144:AI153" ca="1" si="714">IF(E143="P", IF($D142="G", TEXT(RAND()*(9.27-9.62)/24+9.62/24,"HH:MM"), IF($D142="A", TEXT(RAND()*(8.06-8.1)/24+8.15/24,"HH:MM"), IF($D142="B", TEXT(RAND()*(16.06-16.1)/24+16.15/24,"HH:MM"), IF($D142="C", TEXT(RAND()*(24.85-24.13)/24+24.13/24,"HH:MM"), " ")))), "")</f>
        <v/>
      </c>
      <c r="F144" s="20" t="str">
        <f t="shared" ca="1" si="714"/>
        <v/>
      </c>
      <c r="G144" s="20" t="str">
        <f t="shared" ca="1" si="714"/>
        <v>08:08</v>
      </c>
      <c r="H144" s="20" t="str">
        <f t="shared" ca="1" si="714"/>
        <v/>
      </c>
      <c r="I144" s="20" t="str">
        <f t="shared" ca="1" si="714"/>
        <v>08:06</v>
      </c>
      <c r="J144" s="20" t="str">
        <f t="shared" ca="1" si="714"/>
        <v>08:08</v>
      </c>
      <c r="K144" s="20" t="str">
        <f t="shared" ca="1" si="714"/>
        <v>08:08</v>
      </c>
      <c r="L144" s="20" t="str">
        <f t="shared" ca="1" si="714"/>
        <v/>
      </c>
      <c r="M144" s="20" t="str">
        <f t="shared" ca="1" si="714"/>
        <v/>
      </c>
      <c r="N144" s="20" t="str">
        <f t="shared" ca="1" si="714"/>
        <v>08:08</v>
      </c>
      <c r="O144" s="20" t="str">
        <f t="shared" ca="1" si="714"/>
        <v/>
      </c>
      <c r="P144" s="20" t="str">
        <f t="shared" ca="1" si="714"/>
        <v/>
      </c>
      <c r="Q144" s="20" t="str">
        <f t="shared" ca="1" si="714"/>
        <v>08:08</v>
      </c>
      <c r="R144" s="20" t="str">
        <f t="shared" ca="1" si="714"/>
        <v/>
      </c>
      <c r="S144" s="20" t="str">
        <f t="shared" ca="1" si="714"/>
        <v>08:07</v>
      </c>
      <c r="T144" s="20" t="str">
        <f t="shared" ca="1" si="714"/>
        <v/>
      </c>
      <c r="U144" s="20" t="str">
        <f t="shared" ca="1" si="714"/>
        <v>08:07</v>
      </c>
      <c r="V144" s="20" t="str">
        <f t="shared" ca="1" si="714"/>
        <v>08:08</v>
      </c>
      <c r="W144" s="20" t="str">
        <f t="shared" ca="1" si="714"/>
        <v>08:08</v>
      </c>
      <c r="X144" s="20" t="str">
        <f t="shared" ca="1" si="714"/>
        <v/>
      </c>
      <c r="Y144" s="20" t="str">
        <f t="shared" ca="1" si="714"/>
        <v>08:07</v>
      </c>
      <c r="Z144" s="20" t="str">
        <f t="shared" ca="1" si="714"/>
        <v>08:08</v>
      </c>
      <c r="AA144" s="20" t="str">
        <f t="shared" ca="1" si="714"/>
        <v/>
      </c>
      <c r="AB144" s="20" t="str">
        <f t="shared" ca="1" si="714"/>
        <v/>
      </c>
      <c r="AC144" s="20" t="str">
        <f t="shared" ca="1" si="714"/>
        <v>08:07</v>
      </c>
      <c r="AD144" s="20" t="str">
        <f t="shared" ca="1" si="714"/>
        <v/>
      </c>
      <c r="AE144" s="20" t="str">
        <f t="shared" ca="1" si="714"/>
        <v/>
      </c>
      <c r="AF144" s="20" t="str">
        <f t="shared" ca="1" si="714"/>
        <v/>
      </c>
      <c r="AG144" s="20" t="str">
        <f t="shared" ca="1" si="714"/>
        <v>08:06</v>
      </c>
      <c r="AH144" s="20" t="str">
        <f t="shared" ca="1" si="714"/>
        <v/>
      </c>
      <c r="AI144" s="20" t="str">
        <f t="shared" ca="1" si="714"/>
        <v>08:07</v>
      </c>
      <c r="AJ144" s="21"/>
      <c r="AK144" s="22"/>
      <c r="AL144" s="22"/>
      <c r="AM144" s="22"/>
      <c r="AN144" s="22"/>
      <c r="AO144" s="23" t="s">
        <v>22</v>
      </c>
    </row>
    <row r="145" spans="1:41" ht="15" x14ac:dyDescent="0.3">
      <c r="A145" s="19"/>
      <c r="B145" s="1" t="s">
        <v>22</v>
      </c>
      <c r="C145" s="48" t="s">
        <v>22</v>
      </c>
      <c r="D145" s="45" t="s">
        <v>2</v>
      </c>
      <c r="E145" s="20" t="str">
        <f t="shared" ref="E145:AI154" ca="1" si="715">IF(E143="P", IF($D142="G", TEXT(RAND()*(18.85-18.13)/24+18.13/24,"HH:MM"), IF($D142="A", TEXT(RAND()*(16.85-16.13)/24+16.13/24,"HH:MM"), IF($D142="B", TEXT(RAND()*(24.85-24.13)/24+24.13/24,"HH:MM"), IF($D142="C", TEXT(RAND()*(8.85-8.13)/24+8.13/24,"HH:MM"), " ")))), "")</f>
        <v/>
      </c>
      <c r="F145" s="20" t="str">
        <f t="shared" ca="1" si="715"/>
        <v/>
      </c>
      <c r="G145" s="20" t="str">
        <f t="shared" ca="1" si="715"/>
        <v>16:15</v>
      </c>
      <c r="H145" s="20" t="str">
        <f t="shared" ca="1" si="715"/>
        <v/>
      </c>
      <c r="I145" s="20" t="str">
        <f t="shared" ca="1" si="715"/>
        <v>16:19</v>
      </c>
      <c r="J145" s="20" t="str">
        <f t="shared" ca="1" si="715"/>
        <v>16:38</v>
      </c>
      <c r="K145" s="20" t="str">
        <f t="shared" ca="1" si="715"/>
        <v>16:08</v>
      </c>
      <c r="L145" s="20" t="str">
        <f t="shared" ca="1" si="715"/>
        <v/>
      </c>
      <c r="M145" s="20" t="str">
        <f t="shared" ca="1" si="715"/>
        <v/>
      </c>
      <c r="N145" s="20" t="str">
        <f t="shared" ca="1" si="715"/>
        <v>16:34</v>
      </c>
      <c r="O145" s="20" t="str">
        <f t="shared" ca="1" si="715"/>
        <v/>
      </c>
      <c r="P145" s="20" t="str">
        <f t="shared" ca="1" si="715"/>
        <v/>
      </c>
      <c r="Q145" s="20" t="str">
        <f t="shared" ca="1" si="715"/>
        <v>16:44</v>
      </c>
      <c r="R145" s="20" t="str">
        <f t="shared" ca="1" si="715"/>
        <v/>
      </c>
      <c r="S145" s="20" t="str">
        <f t="shared" ca="1" si="715"/>
        <v>16:27</v>
      </c>
      <c r="T145" s="20" t="str">
        <f t="shared" ca="1" si="715"/>
        <v/>
      </c>
      <c r="U145" s="20" t="str">
        <f t="shared" ca="1" si="715"/>
        <v>16:27</v>
      </c>
      <c r="V145" s="20" t="str">
        <f t="shared" ca="1" si="715"/>
        <v>16:46</v>
      </c>
      <c r="W145" s="20" t="str">
        <f t="shared" ca="1" si="715"/>
        <v>16:45</v>
      </c>
      <c r="X145" s="20" t="str">
        <f t="shared" ca="1" si="715"/>
        <v/>
      </c>
      <c r="Y145" s="20" t="str">
        <f t="shared" ca="1" si="715"/>
        <v>16:42</v>
      </c>
      <c r="Z145" s="20" t="str">
        <f t="shared" ca="1" si="715"/>
        <v>16:43</v>
      </c>
      <c r="AA145" s="20" t="str">
        <f t="shared" ca="1" si="715"/>
        <v/>
      </c>
      <c r="AB145" s="20" t="str">
        <f t="shared" ca="1" si="715"/>
        <v/>
      </c>
      <c r="AC145" s="20" t="str">
        <f t="shared" ca="1" si="715"/>
        <v>16:28</v>
      </c>
      <c r="AD145" s="20" t="str">
        <f t="shared" ca="1" si="715"/>
        <v/>
      </c>
      <c r="AE145" s="20" t="str">
        <f t="shared" ca="1" si="715"/>
        <v/>
      </c>
      <c r="AF145" s="20" t="str">
        <f t="shared" ca="1" si="715"/>
        <v/>
      </c>
      <c r="AG145" s="20" t="str">
        <f t="shared" ca="1" si="715"/>
        <v>16:30</v>
      </c>
      <c r="AH145" s="20" t="str">
        <f t="shared" ca="1" si="715"/>
        <v/>
      </c>
      <c r="AI145" s="20" t="str">
        <f t="shared" ca="1" si="715"/>
        <v>16:13</v>
      </c>
      <c r="AJ145" s="24" t="s">
        <v>13</v>
      </c>
      <c r="AK145" s="25"/>
      <c r="AL145" s="25"/>
      <c r="AM145" s="25"/>
      <c r="AN145" s="25"/>
      <c r="AO145" s="23" t="s">
        <v>22</v>
      </c>
    </row>
    <row r="146" spans="1:41" ht="15" x14ac:dyDescent="0.3">
      <c r="A146" s="26"/>
      <c r="B146" s="1" t="s">
        <v>22</v>
      </c>
      <c r="C146" s="48" t="s">
        <v>22</v>
      </c>
      <c r="D146" s="45" t="s">
        <v>14</v>
      </c>
      <c r="E146" s="27" t="str">
        <f t="shared" ref="E146:AI155" ca="1" si="716">IF(E143="P", MOD(E145-E144, 1), " ")</f>
        <v xml:space="preserve"> </v>
      </c>
      <c r="F146" s="27" t="str">
        <f t="shared" si="716"/>
        <v xml:space="preserve"> </v>
      </c>
      <c r="G146" s="27">
        <f t="shared" ca="1" si="716"/>
        <v>0.33819444444444446</v>
      </c>
      <c r="H146" s="27" t="str">
        <f t="shared" ca="1" si="716"/>
        <v xml:space="preserve"> </v>
      </c>
      <c r="I146" s="27">
        <f t="shared" ca="1" si="716"/>
        <v>0.34236111111111112</v>
      </c>
      <c r="J146" s="27">
        <f t="shared" ca="1" si="716"/>
        <v>0.35416666666666663</v>
      </c>
      <c r="K146" s="27">
        <f t="shared" ca="1" si="716"/>
        <v>0.33333333333333337</v>
      </c>
      <c r="L146" s="27" t="str">
        <f t="shared" ca="1" si="716"/>
        <v xml:space="preserve"> </v>
      </c>
      <c r="M146" s="27" t="str">
        <f t="shared" si="716"/>
        <v xml:space="preserve"> </v>
      </c>
      <c r="N146" s="27">
        <f t="shared" ca="1" si="716"/>
        <v>0.35138888888888886</v>
      </c>
      <c r="O146" s="27" t="str">
        <f t="shared" ca="1" si="716"/>
        <v xml:space="preserve"> </v>
      </c>
      <c r="P146" s="27" t="str">
        <f t="shared" ca="1" si="716"/>
        <v xml:space="preserve"> </v>
      </c>
      <c r="Q146" s="27">
        <f t="shared" ca="1" si="716"/>
        <v>0.35833333333333328</v>
      </c>
      <c r="R146" s="27" t="str">
        <f t="shared" ca="1" si="716"/>
        <v xml:space="preserve"> </v>
      </c>
      <c r="S146" s="27">
        <f t="shared" ca="1" si="716"/>
        <v>0.34722222222222221</v>
      </c>
      <c r="T146" s="27" t="str">
        <f t="shared" si="716"/>
        <v xml:space="preserve"> </v>
      </c>
      <c r="U146" s="27">
        <f t="shared" ca="1" si="716"/>
        <v>0.34722222222222221</v>
      </c>
      <c r="V146" s="27">
        <f t="shared" ca="1" si="716"/>
        <v>0.35972222222222217</v>
      </c>
      <c r="W146" s="27">
        <f t="shared" ca="1" si="716"/>
        <v>0.35902777777777772</v>
      </c>
      <c r="X146" s="27" t="str">
        <f t="shared" ca="1" si="716"/>
        <v xml:space="preserve"> </v>
      </c>
      <c r="Y146" s="27">
        <f t="shared" ca="1" si="716"/>
        <v>0.35763888888888884</v>
      </c>
      <c r="Z146" s="27">
        <f t="shared" ca="1" si="716"/>
        <v>0.35763888888888884</v>
      </c>
      <c r="AA146" s="27" t="str">
        <f t="shared" si="716"/>
        <v xml:space="preserve"> </v>
      </c>
      <c r="AB146" s="27" t="str">
        <f t="shared" ca="1" si="716"/>
        <v xml:space="preserve"> </v>
      </c>
      <c r="AC146" s="27">
        <f t="shared" ca="1" si="716"/>
        <v>0.34791666666666665</v>
      </c>
      <c r="AD146" s="27" t="str">
        <f t="shared" ca="1" si="716"/>
        <v xml:space="preserve"> </v>
      </c>
      <c r="AE146" s="27" t="str">
        <f t="shared" ca="1" si="716"/>
        <v xml:space="preserve"> </v>
      </c>
      <c r="AF146" s="27" t="str">
        <f t="shared" ca="1" si="716"/>
        <v xml:space="preserve"> </v>
      </c>
      <c r="AG146" s="27">
        <f t="shared" ca="1" si="716"/>
        <v>0.35</v>
      </c>
      <c r="AH146" s="27" t="str">
        <f t="shared" si="716"/>
        <v xml:space="preserve"> </v>
      </c>
      <c r="AI146" s="27">
        <f t="shared" ca="1" si="716"/>
        <v>0.33750000000000002</v>
      </c>
      <c r="AJ146" s="28">
        <f t="shared" ref="AJ146" ca="1" si="717">AJ143*8</f>
        <v>120</v>
      </c>
      <c r="AK146" s="29"/>
      <c r="AL146" s="29"/>
      <c r="AM146" s="29"/>
      <c r="AN146" s="29"/>
      <c r="AO146" s="23" t="s">
        <v>22</v>
      </c>
    </row>
    <row r="147" spans="1:41" ht="15" x14ac:dyDescent="0.3">
      <c r="A147" s="26"/>
      <c r="B147" s="1" t="s">
        <v>22</v>
      </c>
      <c r="C147" s="48" t="s">
        <v>22</v>
      </c>
      <c r="D147" s="45" t="s">
        <v>19</v>
      </c>
      <c r="E147" s="27" t="str">
        <f t="shared" ref="E147:AI156" ca="1" si="718">IF(E143="P","08:00"," ")</f>
        <v xml:space="preserve"> </v>
      </c>
      <c r="F147" s="27" t="str">
        <f t="shared" si="718"/>
        <v xml:space="preserve"> </v>
      </c>
      <c r="G147" s="27" t="str">
        <f t="shared" ca="1" si="718"/>
        <v>08:00</v>
      </c>
      <c r="H147" s="27" t="str">
        <f t="shared" ca="1" si="718"/>
        <v xml:space="preserve"> </v>
      </c>
      <c r="I147" s="27" t="str">
        <f t="shared" ca="1" si="718"/>
        <v>08:00</v>
      </c>
      <c r="J147" s="27" t="str">
        <f t="shared" ca="1" si="718"/>
        <v>08:00</v>
      </c>
      <c r="K147" s="27" t="str">
        <f t="shared" ca="1" si="718"/>
        <v>08:00</v>
      </c>
      <c r="L147" s="27" t="str">
        <f t="shared" ca="1" si="718"/>
        <v xml:space="preserve"> </v>
      </c>
      <c r="M147" s="27" t="str">
        <f t="shared" si="718"/>
        <v xml:space="preserve"> </v>
      </c>
      <c r="N147" s="27" t="str">
        <f t="shared" ca="1" si="718"/>
        <v>08:00</v>
      </c>
      <c r="O147" s="27" t="str">
        <f t="shared" ca="1" si="718"/>
        <v xml:space="preserve"> </v>
      </c>
      <c r="P147" s="27" t="str">
        <f t="shared" ca="1" si="718"/>
        <v xml:space="preserve"> </v>
      </c>
      <c r="Q147" s="27" t="str">
        <f t="shared" ca="1" si="718"/>
        <v>08:00</v>
      </c>
      <c r="R147" s="27" t="str">
        <f t="shared" ca="1" si="718"/>
        <v xml:space="preserve"> </v>
      </c>
      <c r="S147" s="27" t="str">
        <f t="shared" ca="1" si="718"/>
        <v>08:00</v>
      </c>
      <c r="T147" s="27" t="str">
        <f t="shared" si="718"/>
        <v xml:space="preserve"> </v>
      </c>
      <c r="U147" s="27" t="str">
        <f t="shared" ca="1" si="718"/>
        <v>08:00</v>
      </c>
      <c r="V147" s="27" t="str">
        <f t="shared" ca="1" si="718"/>
        <v>08:00</v>
      </c>
      <c r="W147" s="27" t="str">
        <f t="shared" ca="1" si="718"/>
        <v>08:00</v>
      </c>
      <c r="X147" s="27" t="str">
        <f t="shared" ca="1" si="718"/>
        <v xml:space="preserve"> </v>
      </c>
      <c r="Y147" s="27" t="str">
        <f t="shared" ca="1" si="718"/>
        <v>08:00</v>
      </c>
      <c r="Z147" s="27" t="str">
        <f t="shared" ca="1" si="718"/>
        <v>08:00</v>
      </c>
      <c r="AA147" s="27" t="str">
        <f t="shared" si="718"/>
        <v xml:space="preserve"> </v>
      </c>
      <c r="AB147" s="27" t="str">
        <f t="shared" ca="1" si="718"/>
        <v xml:space="preserve"> </v>
      </c>
      <c r="AC147" s="27" t="str">
        <f t="shared" ca="1" si="718"/>
        <v>08:00</v>
      </c>
      <c r="AD147" s="27" t="str">
        <f t="shared" ca="1" si="718"/>
        <v xml:space="preserve"> </v>
      </c>
      <c r="AE147" s="27" t="str">
        <f t="shared" ca="1" si="718"/>
        <v xml:space="preserve"> </v>
      </c>
      <c r="AF147" s="27" t="str">
        <f t="shared" ca="1" si="718"/>
        <v xml:space="preserve"> </v>
      </c>
      <c r="AG147" s="27" t="str">
        <f t="shared" ca="1" si="718"/>
        <v>08:00</v>
      </c>
      <c r="AH147" s="27" t="str">
        <f t="shared" si="718"/>
        <v xml:space="preserve"> </v>
      </c>
      <c r="AI147" s="27" t="str">
        <f t="shared" ca="1" si="718"/>
        <v>08:00</v>
      </c>
      <c r="AJ147" s="28"/>
      <c r="AK147" s="29"/>
      <c r="AL147" s="29"/>
      <c r="AM147" s="29"/>
      <c r="AN147" s="29"/>
      <c r="AO147" s="23" t="s">
        <v>22</v>
      </c>
    </row>
    <row r="148" spans="1:41" ht="15" x14ac:dyDescent="0.3">
      <c r="A148" s="26"/>
      <c r="B148" s="1" t="s">
        <v>22</v>
      </c>
      <c r="C148" s="48" t="s">
        <v>22</v>
      </c>
      <c r="D148" s="45" t="s">
        <v>12</v>
      </c>
      <c r="E148" s="27" t="str">
        <f t="shared" ref="E148:AI157" ca="1" si="719">IF(E143="P","01:00"," ")</f>
        <v xml:space="preserve"> </v>
      </c>
      <c r="F148" s="27" t="str">
        <f t="shared" si="719"/>
        <v xml:space="preserve"> </v>
      </c>
      <c r="G148" s="27" t="str">
        <f t="shared" ca="1" si="719"/>
        <v>01:00</v>
      </c>
      <c r="H148" s="27" t="str">
        <f t="shared" ca="1" si="719"/>
        <v xml:space="preserve"> </v>
      </c>
      <c r="I148" s="27" t="str">
        <f t="shared" ca="1" si="719"/>
        <v>01:00</v>
      </c>
      <c r="J148" s="27" t="str">
        <f t="shared" ca="1" si="719"/>
        <v>01:00</v>
      </c>
      <c r="K148" s="27" t="str">
        <f t="shared" ca="1" si="719"/>
        <v>01:00</v>
      </c>
      <c r="L148" s="27" t="str">
        <f t="shared" ca="1" si="719"/>
        <v xml:space="preserve"> </v>
      </c>
      <c r="M148" s="27" t="str">
        <f t="shared" si="719"/>
        <v xml:space="preserve"> </v>
      </c>
      <c r="N148" s="27" t="str">
        <f t="shared" ca="1" si="719"/>
        <v>01:00</v>
      </c>
      <c r="O148" s="27" t="str">
        <f t="shared" ca="1" si="719"/>
        <v xml:space="preserve"> </v>
      </c>
      <c r="P148" s="27" t="str">
        <f t="shared" ca="1" si="719"/>
        <v xml:space="preserve"> </v>
      </c>
      <c r="Q148" s="27" t="str">
        <f t="shared" ca="1" si="719"/>
        <v>01:00</v>
      </c>
      <c r="R148" s="27" t="str">
        <f t="shared" ca="1" si="719"/>
        <v xml:space="preserve"> </v>
      </c>
      <c r="S148" s="27" t="str">
        <f t="shared" ca="1" si="719"/>
        <v>01:00</v>
      </c>
      <c r="T148" s="27" t="str">
        <f t="shared" si="719"/>
        <v xml:space="preserve"> </v>
      </c>
      <c r="U148" s="27" t="str">
        <f t="shared" ca="1" si="719"/>
        <v>01:00</v>
      </c>
      <c r="V148" s="27" t="str">
        <f t="shared" ca="1" si="719"/>
        <v>01:00</v>
      </c>
      <c r="W148" s="27" t="str">
        <f t="shared" ca="1" si="719"/>
        <v>01:00</v>
      </c>
      <c r="X148" s="27" t="str">
        <f t="shared" ca="1" si="719"/>
        <v xml:space="preserve"> </v>
      </c>
      <c r="Y148" s="27" t="str">
        <f t="shared" ca="1" si="719"/>
        <v>01:00</v>
      </c>
      <c r="Z148" s="27" t="str">
        <f t="shared" ca="1" si="719"/>
        <v>01:00</v>
      </c>
      <c r="AA148" s="27" t="str">
        <f t="shared" si="719"/>
        <v xml:space="preserve"> </v>
      </c>
      <c r="AB148" s="27" t="str">
        <f t="shared" ca="1" si="719"/>
        <v xml:space="preserve"> </v>
      </c>
      <c r="AC148" s="27" t="str">
        <f t="shared" ca="1" si="719"/>
        <v>01:00</v>
      </c>
      <c r="AD148" s="27" t="str">
        <f t="shared" ca="1" si="719"/>
        <v xml:space="preserve"> </v>
      </c>
      <c r="AE148" s="27" t="str">
        <f t="shared" ca="1" si="719"/>
        <v xml:space="preserve"> </v>
      </c>
      <c r="AF148" s="27" t="str">
        <f t="shared" ca="1" si="719"/>
        <v xml:space="preserve"> </v>
      </c>
      <c r="AG148" s="27" t="str">
        <f t="shared" ca="1" si="719"/>
        <v>01:00</v>
      </c>
      <c r="AH148" s="27" t="str">
        <f t="shared" si="719"/>
        <v xml:space="preserve"> </v>
      </c>
      <c r="AI148" s="27" t="str">
        <f t="shared" ca="1" si="719"/>
        <v>01:00</v>
      </c>
      <c r="AJ148" s="24" t="s">
        <v>11</v>
      </c>
      <c r="AK148" s="25"/>
      <c r="AL148" s="25"/>
      <c r="AM148" s="25"/>
      <c r="AN148" s="25"/>
      <c r="AO148" s="23" t="s">
        <v>22</v>
      </c>
    </row>
    <row r="149" spans="1:41" ht="15" x14ac:dyDescent="0.3">
      <c r="A149" s="26"/>
      <c r="B149" s="1" t="s">
        <v>22</v>
      </c>
      <c r="C149" s="48" t="s">
        <v>22</v>
      </c>
      <c r="D149" s="45" t="s">
        <v>11</v>
      </c>
      <c r="E149" s="27" t="str">
        <f t="shared" ref="E149:AI158" ca="1" si="720">IF(E143="P",E146-E148," ")</f>
        <v xml:space="preserve"> </v>
      </c>
      <c r="F149" s="27" t="str">
        <f t="shared" si="720"/>
        <v xml:space="preserve"> </v>
      </c>
      <c r="G149" s="27">
        <f t="shared" ca="1" si="720"/>
        <v>0.29652777777777778</v>
      </c>
      <c r="H149" s="27" t="str">
        <f t="shared" ca="1" si="720"/>
        <v xml:space="preserve"> </v>
      </c>
      <c r="I149" s="27">
        <f t="shared" ca="1" si="720"/>
        <v>0.30069444444444443</v>
      </c>
      <c r="J149" s="27">
        <f t="shared" ca="1" si="720"/>
        <v>0.31249999999999994</v>
      </c>
      <c r="K149" s="27">
        <f t="shared" ca="1" si="720"/>
        <v>0.29166666666666669</v>
      </c>
      <c r="L149" s="27" t="str">
        <f t="shared" ca="1" si="720"/>
        <v xml:space="preserve"> </v>
      </c>
      <c r="M149" s="27" t="str">
        <f t="shared" si="720"/>
        <v xml:space="preserve"> </v>
      </c>
      <c r="N149" s="27">
        <f t="shared" ca="1" si="720"/>
        <v>0.30972222222222218</v>
      </c>
      <c r="O149" s="27" t="str">
        <f t="shared" ca="1" si="720"/>
        <v xml:space="preserve"> </v>
      </c>
      <c r="P149" s="27" t="str">
        <f t="shared" ca="1" si="720"/>
        <v xml:space="preserve"> </v>
      </c>
      <c r="Q149" s="27">
        <f t="shared" ca="1" si="720"/>
        <v>0.3166666666666666</v>
      </c>
      <c r="R149" s="27" t="str">
        <f t="shared" ca="1" si="720"/>
        <v xml:space="preserve"> </v>
      </c>
      <c r="S149" s="27">
        <f t="shared" ca="1" si="720"/>
        <v>0.30555555555555552</v>
      </c>
      <c r="T149" s="27" t="str">
        <f t="shared" si="720"/>
        <v xml:space="preserve"> </v>
      </c>
      <c r="U149" s="27">
        <f t="shared" ca="1" si="720"/>
        <v>0.30555555555555552</v>
      </c>
      <c r="V149" s="27">
        <f t="shared" ca="1" si="720"/>
        <v>0.31805555555555548</v>
      </c>
      <c r="W149" s="27">
        <f t="shared" ca="1" si="720"/>
        <v>0.31736111111111104</v>
      </c>
      <c r="X149" s="27" t="str">
        <f t="shared" ca="1" si="720"/>
        <v xml:space="preserve"> </v>
      </c>
      <c r="Y149" s="27">
        <f t="shared" ca="1" si="720"/>
        <v>0.31597222222222215</v>
      </c>
      <c r="Z149" s="27">
        <f t="shared" ca="1" si="720"/>
        <v>0.31597222222222215</v>
      </c>
      <c r="AA149" s="27" t="str">
        <f t="shared" si="720"/>
        <v xml:space="preserve"> </v>
      </c>
      <c r="AB149" s="27" t="str">
        <f t="shared" ca="1" si="720"/>
        <v xml:space="preserve"> </v>
      </c>
      <c r="AC149" s="27">
        <f t="shared" ca="1" si="720"/>
        <v>0.30624999999999997</v>
      </c>
      <c r="AD149" s="27" t="str">
        <f t="shared" ca="1" si="720"/>
        <v xml:space="preserve"> </v>
      </c>
      <c r="AE149" s="27" t="str">
        <f t="shared" ca="1" si="720"/>
        <v xml:space="preserve"> </v>
      </c>
      <c r="AF149" s="27" t="str">
        <f t="shared" ca="1" si="720"/>
        <v xml:space="preserve"> </v>
      </c>
      <c r="AG149" s="27">
        <f t="shared" ca="1" si="720"/>
        <v>0.30833333333333329</v>
      </c>
      <c r="AH149" s="27" t="str">
        <f t="shared" si="720"/>
        <v xml:space="preserve"> </v>
      </c>
      <c r="AI149" s="27">
        <f t="shared" ca="1" si="720"/>
        <v>0.29583333333333334</v>
      </c>
      <c r="AJ149" s="30">
        <f t="shared" ref="AJ149:AJ150" ca="1" si="721">SUM(E149:AH149)</f>
        <v>4.3208333333333337</v>
      </c>
      <c r="AK149" s="25"/>
      <c r="AL149" s="25"/>
      <c r="AM149" s="25"/>
      <c r="AN149" s="25"/>
      <c r="AO149" s="23" t="s">
        <v>22</v>
      </c>
    </row>
    <row r="150" spans="1:41" ht="15.6" thickBot="1" x14ac:dyDescent="0.35">
      <c r="A150" s="31"/>
      <c r="B150" s="32" t="s">
        <v>22</v>
      </c>
      <c r="C150" s="49" t="s">
        <v>22</v>
      </c>
      <c r="D150" s="46" t="s">
        <v>20</v>
      </c>
      <c r="E150" s="33" t="str">
        <f t="shared" ref="E150:AI159" ca="1" si="722">IF(E143="P",(IF(E147&gt;E149,0,E149-E147))," ")</f>
        <v xml:space="preserve"> </v>
      </c>
      <c r="F150" s="33" t="str">
        <f t="shared" si="722"/>
        <v xml:space="preserve"> </v>
      </c>
      <c r="G150" s="33">
        <f t="shared" ca="1" si="722"/>
        <v>0</v>
      </c>
      <c r="H150" s="33" t="str">
        <f t="shared" ca="1" si="722"/>
        <v xml:space="preserve"> </v>
      </c>
      <c r="I150" s="33">
        <f t="shared" ca="1" si="722"/>
        <v>0</v>
      </c>
      <c r="J150" s="33">
        <f t="shared" ca="1" si="722"/>
        <v>0</v>
      </c>
      <c r="K150" s="33">
        <f t="shared" ca="1" si="722"/>
        <v>0</v>
      </c>
      <c r="L150" s="33" t="str">
        <f t="shared" ca="1" si="722"/>
        <v xml:space="preserve"> </v>
      </c>
      <c r="M150" s="33" t="str">
        <f t="shared" si="722"/>
        <v xml:space="preserve"> </v>
      </c>
      <c r="N150" s="33">
        <f t="shared" ca="1" si="722"/>
        <v>0</v>
      </c>
      <c r="O150" s="33" t="str">
        <f t="shared" ca="1" si="722"/>
        <v xml:space="preserve"> </v>
      </c>
      <c r="P150" s="33" t="str">
        <f t="shared" ca="1" si="722"/>
        <v xml:space="preserve"> </v>
      </c>
      <c r="Q150" s="33">
        <f t="shared" ca="1" si="722"/>
        <v>0</v>
      </c>
      <c r="R150" s="33" t="str">
        <f t="shared" ca="1" si="722"/>
        <v xml:space="preserve"> </v>
      </c>
      <c r="S150" s="33">
        <f t="shared" ca="1" si="722"/>
        <v>0</v>
      </c>
      <c r="T150" s="33" t="str">
        <f t="shared" si="722"/>
        <v xml:space="preserve"> </v>
      </c>
      <c r="U150" s="33">
        <f t="shared" ca="1" si="722"/>
        <v>0</v>
      </c>
      <c r="V150" s="33">
        <f t="shared" ca="1" si="722"/>
        <v>0</v>
      </c>
      <c r="W150" s="33">
        <f t="shared" ca="1" si="722"/>
        <v>0</v>
      </c>
      <c r="X150" s="33" t="str">
        <f t="shared" ca="1" si="722"/>
        <v xml:space="preserve"> </v>
      </c>
      <c r="Y150" s="33">
        <f t="shared" ca="1" si="722"/>
        <v>0</v>
      </c>
      <c r="Z150" s="33">
        <f t="shared" ca="1" si="722"/>
        <v>0</v>
      </c>
      <c r="AA150" s="33" t="str">
        <f t="shared" si="722"/>
        <v xml:space="preserve"> </v>
      </c>
      <c r="AB150" s="33" t="str">
        <f t="shared" ca="1" si="722"/>
        <v xml:space="preserve"> </v>
      </c>
      <c r="AC150" s="33">
        <f t="shared" ca="1" si="722"/>
        <v>0</v>
      </c>
      <c r="AD150" s="33" t="str">
        <f t="shared" ca="1" si="722"/>
        <v xml:space="preserve"> </v>
      </c>
      <c r="AE150" s="33" t="str">
        <f t="shared" ca="1" si="722"/>
        <v xml:space="preserve"> </v>
      </c>
      <c r="AF150" s="33" t="str">
        <f t="shared" ca="1" si="722"/>
        <v xml:space="preserve"> </v>
      </c>
      <c r="AG150" s="33">
        <f t="shared" ca="1" si="722"/>
        <v>0</v>
      </c>
      <c r="AH150" s="33" t="str">
        <f t="shared" si="722"/>
        <v xml:space="preserve"> </v>
      </c>
      <c r="AI150" s="33">
        <f t="shared" ca="1" si="722"/>
        <v>0</v>
      </c>
      <c r="AJ150" s="34">
        <f t="shared" ca="1" si="721"/>
        <v>0</v>
      </c>
      <c r="AK150" s="35"/>
      <c r="AL150" s="35"/>
      <c r="AM150" s="35"/>
      <c r="AN150" s="35"/>
      <c r="AO150" s="36" t="s">
        <v>22</v>
      </c>
    </row>
    <row r="151" spans="1:41" ht="15.6" thickBot="1" x14ac:dyDescent="0.35">
      <c r="A151" s="14"/>
      <c r="B151" s="15" t="s">
        <v>22</v>
      </c>
      <c r="C151" s="47" t="s">
        <v>22</v>
      </c>
      <c r="D151" s="37" t="s">
        <v>3</v>
      </c>
      <c r="E151" s="9">
        <f t="shared" ref="E151:T151" ca="1" si="723">IF(OR(E$5="",E$5=0),-2,IF(E$6=$D152,-1,RAND()))</f>
        <v>0.59134078742610519</v>
      </c>
      <c r="F151" s="9">
        <f t="shared" ca="1" si="723"/>
        <v>0.97667289011418856</v>
      </c>
      <c r="G151" s="9">
        <f t="shared" ca="1" si="723"/>
        <v>0.55800432800571464</v>
      </c>
      <c r="H151" s="9">
        <f t="shared" ca="1" si="723"/>
        <v>-1</v>
      </c>
      <c r="I151" s="9">
        <f t="shared" ca="1" si="723"/>
        <v>0.26496398013990552</v>
      </c>
      <c r="J151" s="9">
        <f t="shared" ca="1" si="723"/>
        <v>0.74054979047552472</v>
      </c>
      <c r="K151" s="9">
        <f t="shared" ca="1" si="723"/>
        <v>0.74435933412687205</v>
      </c>
      <c r="L151" s="9">
        <f t="shared" ca="1" si="723"/>
        <v>0.86181156519112978</v>
      </c>
      <c r="M151" s="9">
        <f t="shared" ca="1" si="723"/>
        <v>0.96262610738093246</v>
      </c>
      <c r="N151" s="9">
        <f t="shared" ca="1" si="723"/>
        <v>0.6400323281308663</v>
      </c>
      <c r="O151" s="9">
        <f t="shared" ca="1" si="723"/>
        <v>-1</v>
      </c>
      <c r="P151" s="9">
        <f t="shared" ca="1" si="723"/>
        <v>0.44912605164191766</v>
      </c>
      <c r="Q151" s="9">
        <f t="shared" ca="1" si="723"/>
        <v>0.37439493146089753</v>
      </c>
      <c r="R151" s="9">
        <f t="shared" ca="1" si="723"/>
        <v>0.32570727069202143</v>
      </c>
      <c r="S151" s="9">
        <f t="shared" ca="1" si="723"/>
        <v>0.67936191903745557</v>
      </c>
      <c r="T151" s="9">
        <f t="shared" ca="1" si="723"/>
        <v>0.54020321979267316</v>
      </c>
      <c r="U151" s="9">
        <f t="shared" ref="U151:AI151" ca="1" si="724">IF(OR(U$5="",U$5=0),-2,IF(U$6=$D152,-1,RAND()))</f>
        <v>0.77852828141949504</v>
      </c>
      <c r="V151" s="9">
        <f t="shared" ca="1" si="724"/>
        <v>-1</v>
      </c>
      <c r="W151" s="9">
        <f t="shared" ca="1" si="724"/>
        <v>0.49914795773615506</v>
      </c>
      <c r="X151" s="9">
        <f t="shared" ca="1" si="724"/>
        <v>0.95713207010323775</v>
      </c>
      <c r="Y151" s="9">
        <f t="shared" ca="1" si="724"/>
        <v>0.42238005575444759</v>
      </c>
      <c r="Z151" s="9">
        <f t="shared" ca="1" si="724"/>
        <v>0.93288644439474733</v>
      </c>
      <c r="AA151" s="9">
        <f t="shared" ca="1" si="724"/>
        <v>0.11216674864878939</v>
      </c>
      <c r="AB151" s="9">
        <f t="shared" ca="1" si="724"/>
        <v>0.61615401762374222</v>
      </c>
      <c r="AC151" s="9">
        <f t="shared" ca="1" si="724"/>
        <v>-1</v>
      </c>
      <c r="AD151" s="9">
        <f t="shared" ca="1" si="724"/>
        <v>0.57454035148570659</v>
      </c>
      <c r="AE151" s="9">
        <f t="shared" ca="1" si="724"/>
        <v>0.96806678552080516</v>
      </c>
      <c r="AF151" s="9">
        <f t="shared" ca="1" si="724"/>
        <v>0.45112185173169006</v>
      </c>
      <c r="AG151" s="9">
        <f t="shared" ca="1" si="724"/>
        <v>0.82408413205578823</v>
      </c>
      <c r="AH151" s="9">
        <f t="shared" ca="1" si="724"/>
        <v>0.86852696910140592</v>
      </c>
      <c r="AI151" s="9">
        <f t="shared" ca="1" si="724"/>
        <v>0.15244459333553673</v>
      </c>
      <c r="AJ151" s="38"/>
      <c r="AK151" s="37"/>
      <c r="AL151" s="37"/>
      <c r="AM151" s="37"/>
      <c r="AN151" s="37"/>
      <c r="AO151" s="39" t="s">
        <v>22</v>
      </c>
    </row>
    <row r="152" spans="1:41" ht="15.6" thickBot="1" x14ac:dyDescent="0.35">
      <c r="A152" s="42"/>
      <c r="B152" s="44" t="s">
        <v>38</v>
      </c>
      <c r="C152" s="43" t="s">
        <v>60</v>
      </c>
      <c r="D152" s="37" t="s">
        <v>71</v>
      </c>
      <c r="E152" s="9" t="str">
        <f t="shared" ref="E152" ca="1" si="725">IF(OR(E$5="",E$5=0),"",IF(E$6=$D152,"W",IF(_xlfn.RANK.EQ(E151,$E151:$AI151,0)&lt;=INT($AO152),"P",IF(AND(_xlfn.RANK.EQ(E151,$E151:$AI151,0)=INT($AO152)+1,MOD($AO152,1)=0.5),"H","A"))))</f>
        <v>A</v>
      </c>
      <c r="F152" s="9" t="str">
        <f t="shared" ref="F152" ca="1" si="726">IF(OR(F$5="",F$5=0),"",IF(F$6=$D152,"W",IF(_xlfn.RANK.EQ(F151,$E151:$AI151,0)&lt;=INT($AO152),"P",IF(AND(_xlfn.RANK.EQ(F151,$E151:$AI151,0)=INT($AO152)+1,MOD($AO152,1)=0.5),"H","A"))))</f>
        <v>P</v>
      </c>
      <c r="G152" s="9" t="str">
        <f t="shared" ref="G152" ca="1" si="727">IF(OR(G$5="",G$5=0),"",IF(G$6=$D152,"W",IF(_xlfn.RANK.EQ(G151,$E151:$AI151,0)&lt;=INT($AO152),"P",IF(AND(_xlfn.RANK.EQ(G151,$E151:$AI151,0)=INT($AO152)+1,MOD($AO152,1)=0.5),"H","A"))))</f>
        <v>A</v>
      </c>
      <c r="H152" s="9" t="str">
        <f t="shared" ref="H152" si="728">IF(OR(H$5="",H$5=0),"",IF(H$6=$D152,"W",IF(_xlfn.RANK.EQ(H151,$E151:$AI151,0)&lt;=INT($AO152),"P",IF(AND(_xlfn.RANK.EQ(H151,$E151:$AI151,0)=INT($AO152)+1,MOD($AO152,1)=0.5),"H","A"))))</f>
        <v>W</v>
      </c>
      <c r="I152" s="9" t="str">
        <f t="shared" ref="I152" ca="1" si="729">IF(OR(I$5="",I$5=0),"",IF(I$6=$D152,"W",IF(_xlfn.RANK.EQ(I151,$E151:$AI151,0)&lt;=INT($AO152),"P",IF(AND(_xlfn.RANK.EQ(I151,$E151:$AI151,0)=INT($AO152)+1,MOD($AO152,1)=0.5),"H","A"))))</f>
        <v>A</v>
      </c>
      <c r="J152" s="9" t="str">
        <f t="shared" ref="J152" ca="1" si="730">IF(OR(J$5="",J$5=0),"",IF(J$6=$D152,"W",IF(_xlfn.RANK.EQ(J151,$E151:$AI151,0)&lt;=INT($AO152),"P",IF(AND(_xlfn.RANK.EQ(J151,$E151:$AI151,0)=INT($AO152)+1,MOD($AO152,1)=0.5),"H","A"))))</f>
        <v>P</v>
      </c>
      <c r="K152" s="9" t="str">
        <f t="shared" ref="K152" ca="1" si="731">IF(OR(K$5="",K$5=0),"",IF(K$6=$D152,"W",IF(_xlfn.RANK.EQ(K151,$E151:$AI151,0)&lt;=INT($AO152),"P",IF(AND(_xlfn.RANK.EQ(K151,$E151:$AI151,0)=INT($AO152)+1,MOD($AO152,1)=0.5),"H","A"))))</f>
        <v>P</v>
      </c>
      <c r="L152" s="9" t="str">
        <f t="shared" ref="L152" ca="1" si="732">IF(OR(L$5="",L$5=0),"",IF(L$6=$D152,"W",IF(_xlfn.RANK.EQ(L151,$E151:$AI151,0)&lt;=INT($AO152),"P",IF(AND(_xlfn.RANK.EQ(L151,$E151:$AI151,0)=INT($AO152)+1,MOD($AO152,1)=0.5),"H","A"))))</f>
        <v>P</v>
      </c>
      <c r="M152" s="9" t="str">
        <f t="shared" ref="M152" ca="1" si="733">IF(OR(M$5="",M$5=0),"",IF(M$6=$D152,"W",IF(_xlfn.RANK.EQ(M151,$E151:$AI151,0)&lt;=INT($AO152),"P",IF(AND(_xlfn.RANK.EQ(M151,$E151:$AI151,0)=INT($AO152)+1,MOD($AO152,1)=0.5),"H","A"))))</f>
        <v>P</v>
      </c>
      <c r="N152" s="9" t="str">
        <f t="shared" ref="N152" ca="1" si="734">IF(OR(N$5="",N$5=0),"",IF(N$6=$D152,"W",IF(_xlfn.RANK.EQ(N151,$E151:$AI151,0)&lt;=INT($AO152),"P",IF(AND(_xlfn.RANK.EQ(N151,$E151:$AI151,0)=INT($AO152)+1,MOD($AO152,1)=0.5),"H","A"))))</f>
        <v>P</v>
      </c>
      <c r="O152" s="9" t="str">
        <f t="shared" ref="O152" si="735">IF(OR(O$5="",O$5=0),"",IF(O$6=$D152,"W",IF(_xlfn.RANK.EQ(O151,$E151:$AI151,0)&lt;=INT($AO152),"P",IF(AND(_xlfn.RANK.EQ(O151,$E151:$AI151,0)=INT($AO152)+1,MOD($AO152,1)=0.5),"H","A"))))</f>
        <v>W</v>
      </c>
      <c r="P152" s="9" t="str">
        <f t="shared" ref="P152" ca="1" si="736">IF(OR(P$5="",P$5=0),"",IF(P$6=$D152,"W",IF(_xlfn.RANK.EQ(P151,$E151:$AI151,0)&lt;=INT($AO152),"P",IF(AND(_xlfn.RANK.EQ(P151,$E151:$AI151,0)=INT($AO152)+1,MOD($AO152,1)=0.5),"H","A"))))</f>
        <v>A</v>
      </c>
      <c r="Q152" s="9" t="str">
        <f t="shared" ref="Q152" ca="1" si="737">IF(OR(Q$5="",Q$5=0),"",IF(Q$6=$D152,"W",IF(_xlfn.RANK.EQ(Q151,$E151:$AI151,0)&lt;=INT($AO152),"P",IF(AND(_xlfn.RANK.EQ(Q151,$E151:$AI151,0)=INT($AO152)+1,MOD($AO152,1)=0.5),"H","A"))))</f>
        <v>A</v>
      </c>
      <c r="R152" s="9" t="str">
        <f t="shared" ref="R152" ca="1" si="738">IF(OR(R$5="",R$5=0),"",IF(R$6=$D152,"W",IF(_xlfn.RANK.EQ(R151,$E151:$AI151,0)&lt;=INT($AO152),"P",IF(AND(_xlfn.RANK.EQ(R151,$E151:$AI151,0)=INT($AO152)+1,MOD($AO152,1)=0.5),"H","A"))))</f>
        <v>A</v>
      </c>
      <c r="S152" s="9" t="str">
        <f t="shared" ref="S152" ca="1" si="739">IF(OR(S$5="",S$5=0),"",IF(S$6=$D152,"W",IF(_xlfn.RANK.EQ(S151,$E151:$AI151,0)&lt;=INT($AO152),"P",IF(AND(_xlfn.RANK.EQ(S151,$E151:$AI151,0)=INT($AO152)+1,MOD($AO152,1)=0.5),"H","A"))))</f>
        <v>P</v>
      </c>
      <c r="T152" s="9" t="str">
        <f t="shared" ref="T152" ca="1" si="740">IF(OR(T$5="",T$5=0),"",IF(T$6=$D152,"W",IF(_xlfn.RANK.EQ(T151,$E151:$AI151,0)&lt;=INT($AO152),"P",IF(AND(_xlfn.RANK.EQ(T151,$E151:$AI151,0)=INT($AO152)+1,MOD($AO152,1)=0.5),"H","A"))))</f>
        <v>A</v>
      </c>
      <c r="U152" s="9" t="str">
        <f t="shared" ref="U152" ca="1" si="741">IF(OR(U$5="",U$5=0),"",IF(U$6=$D152,"W",IF(_xlfn.RANK.EQ(U151,$E151:$AI151,0)&lt;=INT($AO152),"P",IF(AND(_xlfn.RANK.EQ(U151,$E151:$AI151,0)=INT($AO152)+1,MOD($AO152,1)=0.5),"H","A"))))</f>
        <v>P</v>
      </c>
      <c r="V152" s="9" t="str">
        <f t="shared" ref="V152" si="742">IF(OR(V$5="",V$5=0),"",IF(V$6=$D152,"W",IF(_xlfn.RANK.EQ(V151,$E151:$AI151,0)&lt;=INT($AO152),"P",IF(AND(_xlfn.RANK.EQ(V151,$E151:$AI151,0)=INT($AO152)+1,MOD($AO152,1)=0.5),"H","A"))))</f>
        <v>W</v>
      </c>
      <c r="W152" s="9" t="str">
        <f t="shared" ref="W152" ca="1" si="743">IF(OR(W$5="",W$5=0),"",IF(W$6=$D152,"W",IF(_xlfn.RANK.EQ(W151,$E151:$AI151,0)&lt;=INT($AO152),"P",IF(AND(_xlfn.RANK.EQ(W151,$E151:$AI151,0)=INT($AO152)+1,MOD($AO152,1)=0.5),"H","A"))))</f>
        <v>A</v>
      </c>
      <c r="X152" s="9" t="str">
        <f t="shared" ref="X152" ca="1" si="744">IF(OR(X$5="",X$5=0),"",IF(X$6=$D152,"W",IF(_xlfn.RANK.EQ(X151,$E151:$AI151,0)&lt;=INT($AO152),"P",IF(AND(_xlfn.RANK.EQ(X151,$E151:$AI151,0)=INT($AO152)+1,MOD($AO152,1)=0.5),"H","A"))))</f>
        <v>P</v>
      </c>
      <c r="Y152" s="9" t="str">
        <f t="shared" ref="Y152" ca="1" si="745">IF(OR(Y$5="",Y$5=0),"",IF(Y$6=$D152,"W",IF(_xlfn.RANK.EQ(Y151,$E151:$AI151,0)&lt;=INT($AO152),"P",IF(AND(_xlfn.RANK.EQ(Y151,$E151:$AI151,0)=INT($AO152)+1,MOD($AO152,1)=0.5),"H","A"))))</f>
        <v>A</v>
      </c>
      <c r="Z152" s="9" t="str">
        <f t="shared" ref="Z152" ca="1" si="746">IF(OR(Z$5="",Z$5=0),"",IF(Z$6=$D152,"W",IF(_xlfn.RANK.EQ(Z151,$E151:$AI151,0)&lt;=INT($AO152),"P",IF(AND(_xlfn.RANK.EQ(Z151,$E151:$AI151,0)=INT($AO152)+1,MOD($AO152,1)=0.5),"H","A"))))</f>
        <v>P</v>
      </c>
      <c r="AA152" s="9" t="str">
        <f t="shared" ref="AA152" ca="1" si="747">IF(OR(AA$5="",AA$5=0),"",IF(AA$6=$D152,"W",IF(_xlfn.RANK.EQ(AA151,$E151:$AI151,0)&lt;=INT($AO152),"P",IF(AND(_xlfn.RANK.EQ(AA151,$E151:$AI151,0)=INT($AO152)+1,MOD($AO152,1)=0.5),"H","A"))))</f>
        <v>A</v>
      </c>
      <c r="AB152" s="9" t="str">
        <f t="shared" ref="AB152" ca="1" si="748">IF(OR(AB$5="",AB$5=0),"",IF(AB$6=$D152,"W",IF(_xlfn.RANK.EQ(AB151,$E151:$AI151,0)&lt;=INT($AO152),"P",IF(AND(_xlfn.RANK.EQ(AB151,$E151:$AI151,0)=INT($AO152)+1,MOD($AO152,1)=0.5),"H","A"))))</f>
        <v>A</v>
      </c>
      <c r="AC152" s="9" t="str">
        <f t="shared" ref="AC152" si="749">IF(OR(AC$5="",AC$5=0),"",IF(AC$6=$D152,"W",IF(_xlfn.RANK.EQ(AC151,$E151:$AI151,0)&lt;=INT($AO152),"P",IF(AND(_xlfn.RANK.EQ(AC151,$E151:$AI151,0)=INT($AO152)+1,MOD($AO152,1)=0.5),"H","A"))))</f>
        <v>W</v>
      </c>
      <c r="AD152" s="9" t="str">
        <f t="shared" ref="AD152" ca="1" si="750">IF(OR(AD$5="",AD$5=0),"",IF(AD$6=$D152,"W",IF(_xlfn.RANK.EQ(AD151,$E151:$AI151,0)&lt;=INT($AO152),"P",IF(AND(_xlfn.RANK.EQ(AD151,$E151:$AI151,0)=INT($AO152)+1,MOD($AO152,1)=0.5),"H","A"))))</f>
        <v>A</v>
      </c>
      <c r="AE152" s="9" t="str">
        <f t="shared" ref="AE152" ca="1" si="751">IF(OR(AE$5="",AE$5=0),"",IF(AE$6=$D152,"W",IF(_xlfn.RANK.EQ(AE151,$E151:$AI151,0)&lt;=INT($AO152),"P",IF(AND(_xlfn.RANK.EQ(AE151,$E151:$AI151,0)=INT($AO152)+1,MOD($AO152,1)=0.5),"H","A"))))</f>
        <v>P</v>
      </c>
      <c r="AF152" s="9" t="str">
        <f t="shared" ref="AF152" ca="1" si="752">IF(OR(AF$5="",AF$5=0),"",IF(AF$6=$D152,"W",IF(_xlfn.RANK.EQ(AF151,$E151:$AI151,0)&lt;=INT($AO152),"P",IF(AND(_xlfn.RANK.EQ(AF151,$E151:$AI151,0)=INT($AO152)+1,MOD($AO152,1)=0.5),"H","A"))))</f>
        <v>A</v>
      </c>
      <c r="AG152" s="9" t="str">
        <f t="shared" ref="AG152" ca="1" si="753">IF(OR(AG$5="",AG$5=0),"",IF(AG$6=$D152,"W",IF(_xlfn.RANK.EQ(AG151,$E151:$AI151,0)&lt;=INT($AO152),"P",IF(AND(_xlfn.RANK.EQ(AG151,$E151:$AI151,0)=INT($AO152)+1,MOD($AO152,1)=0.5),"H","A"))))</f>
        <v>P</v>
      </c>
      <c r="AH152" s="9" t="str">
        <f t="shared" ref="AH152" ca="1" si="754">IF(OR(AH$5="",AH$5=0),"",IF(AH$6=$D152,"W",IF(_xlfn.RANK.EQ(AH151,$E151:$AI151,0)&lt;=INT($AO152),"P",IF(AND(_xlfn.RANK.EQ(AH151,$E151:$AI151,0)=INT($AO152)+1,MOD($AO152,1)=0.5),"H","A"))))</f>
        <v>P</v>
      </c>
      <c r="AI152" s="9" t="str">
        <f t="shared" ref="AI152" ca="1" si="755">IF(OR(AI$5="",AI$5=0),"",IF(AI$6=$D152,"W",IF(_xlfn.RANK.EQ(AI151,$E151:$AI151,0)&lt;=INT($AO152),"P",IF(AND(_xlfn.RANK.EQ(AI151,$E151:$AI151,0)=INT($AO152)+1,MOD($AO152,1)=0.5),"H","A"))))</f>
        <v>A</v>
      </c>
      <c r="AJ152" s="16">
        <f t="shared" ref="AJ152" ca="1" si="756">COUNTIF(E152:AI152, "P")</f>
        <v>13</v>
      </c>
      <c r="AK152" s="17">
        <f t="shared" ref="AK152" ca="1" si="757">COUNTIF(E152:AH152, "A")</f>
        <v>13</v>
      </c>
      <c r="AL152" s="17">
        <f t="shared" ref="AL152" ca="1" si="758">COUNTIF(E152:AH152, "W")</f>
        <v>4</v>
      </c>
      <c r="AM152" s="17">
        <f t="shared" ref="AM152" ca="1" si="759">COUNTIF(E152:AH152, "H")</f>
        <v>0</v>
      </c>
      <c r="AN152" s="17">
        <f t="shared" ref="AN152" ca="1" si="760">COUNTIF(E152:AH152, "PL")</f>
        <v>0</v>
      </c>
      <c r="AO152" s="18">
        <v>13</v>
      </c>
    </row>
    <row r="153" spans="1:41" ht="15" x14ac:dyDescent="0.3">
      <c r="A153" s="19"/>
      <c r="B153" s="1" t="s">
        <v>22</v>
      </c>
      <c r="C153" s="48" t="s">
        <v>22</v>
      </c>
      <c r="D153" s="45" t="s">
        <v>1</v>
      </c>
      <c r="E153" s="20" t="str">
        <f t="shared" ref="E153:AH153" ca="1" si="761">IF(E152="P", IF($D151="G", TEXT(RAND()*(9.27-9.62)/24+9.62/24,"HH:MM"), IF($D151="A", TEXT(RAND()*(8.06-8.1)/24+8.15/24,"HH:MM"), IF($D151="B", TEXT(RAND()*(16.06-16.1)/24+16.15/24,"HH:MM"), IF($D151="C", TEXT(RAND()*(24.85-24.13)/24+24.13/24,"HH:MM"), " ")))), "")</f>
        <v/>
      </c>
      <c r="F153" s="20" t="str">
        <f t="shared" ca="1" si="761"/>
        <v>08:08</v>
      </c>
      <c r="G153" s="20" t="str">
        <f t="shared" ca="1" si="761"/>
        <v/>
      </c>
      <c r="H153" s="20" t="str">
        <f t="shared" ca="1" si="761"/>
        <v/>
      </c>
      <c r="I153" s="20" t="str">
        <f t="shared" ca="1" si="761"/>
        <v/>
      </c>
      <c r="J153" s="20" t="str">
        <f t="shared" ca="1" si="761"/>
        <v>08:06</v>
      </c>
      <c r="K153" s="20" t="str">
        <f t="shared" ca="1" si="761"/>
        <v>08:07</v>
      </c>
      <c r="L153" s="20" t="str">
        <f t="shared" ca="1" si="761"/>
        <v>08:08</v>
      </c>
      <c r="M153" s="20" t="str">
        <f t="shared" ca="1" si="761"/>
        <v>08:07</v>
      </c>
      <c r="N153" s="20" t="str">
        <f t="shared" ca="1" si="761"/>
        <v>08:06</v>
      </c>
      <c r="O153" s="20" t="str">
        <f t="shared" ca="1" si="761"/>
        <v/>
      </c>
      <c r="P153" s="20" t="str">
        <f t="shared" ca="1" si="761"/>
        <v/>
      </c>
      <c r="Q153" s="20" t="str">
        <f t="shared" ca="1" si="761"/>
        <v/>
      </c>
      <c r="R153" s="20" t="str">
        <f t="shared" ca="1" si="761"/>
        <v/>
      </c>
      <c r="S153" s="20" t="str">
        <f t="shared" ca="1" si="761"/>
        <v>08:08</v>
      </c>
      <c r="T153" s="20" t="str">
        <f t="shared" ca="1" si="761"/>
        <v/>
      </c>
      <c r="U153" s="20" t="str">
        <f t="shared" ca="1" si="761"/>
        <v>08:08</v>
      </c>
      <c r="V153" s="20" t="str">
        <f t="shared" ca="1" si="761"/>
        <v/>
      </c>
      <c r="W153" s="20" t="str">
        <f t="shared" ca="1" si="761"/>
        <v/>
      </c>
      <c r="X153" s="20" t="str">
        <f t="shared" ca="1" si="761"/>
        <v>08:06</v>
      </c>
      <c r="Y153" s="20" t="str">
        <f t="shared" ca="1" si="761"/>
        <v/>
      </c>
      <c r="Z153" s="20" t="str">
        <f t="shared" ca="1" si="761"/>
        <v>08:08</v>
      </c>
      <c r="AA153" s="20" t="str">
        <f t="shared" ca="1" si="761"/>
        <v/>
      </c>
      <c r="AB153" s="20" t="str">
        <f t="shared" ca="1" si="761"/>
        <v/>
      </c>
      <c r="AC153" s="20" t="str">
        <f t="shared" ca="1" si="761"/>
        <v/>
      </c>
      <c r="AD153" s="20" t="str">
        <f t="shared" ca="1" si="761"/>
        <v/>
      </c>
      <c r="AE153" s="20" t="str">
        <f t="shared" ca="1" si="761"/>
        <v>08:08</v>
      </c>
      <c r="AF153" s="20" t="str">
        <f t="shared" ca="1" si="761"/>
        <v/>
      </c>
      <c r="AG153" s="20" t="str">
        <f t="shared" ca="1" si="761"/>
        <v>08:07</v>
      </c>
      <c r="AH153" s="20" t="str">
        <f t="shared" ca="1" si="761"/>
        <v>08:08</v>
      </c>
      <c r="AI153" s="20" t="str">
        <f t="shared" ca="1" si="714"/>
        <v/>
      </c>
      <c r="AJ153" s="21"/>
      <c r="AK153" s="22"/>
      <c r="AL153" s="22"/>
      <c r="AM153" s="22"/>
      <c r="AN153" s="22"/>
      <c r="AO153" s="23" t="s">
        <v>22</v>
      </c>
    </row>
    <row r="154" spans="1:41" ht="15" x14ac:dyDescent="0.3">
      <c r="A154" s="19"/>
      <c r="B154" s="1" t="s">
        <v>22</v>
      </c>
      <c r="C154" s="48" t="s">
        <v>22</v>
      </c>
      <c r="D154" s="45" t="s">
        <v>2</v>
      </c>
      <c r="E154" s="20" t="str">
        <f t="shared" ref="E154:AH154" ca="1" si="762">IF(E152="P", IF($D151="G", TEXT(RAND()*(18.85-18.13)/24+18.13/24,"HH:MM"), IF($D151="A", TEXT(RAND()*(16.85-16.13)/24+16.13/24,"HH:MM"), IF($D151="B", TEXT(RAND()*(24.85-24.13)/24+24.13/24,"HH:MM"), IF($D151="C", TEXT(RAND()*(8.85-8.13)/24+8.13/24,"HH:MM"), " ")))), "")</f>
        <v/>
      </c>
      <c r="F154" s="20" t="str">
        <f t="shared" ca="1" si="762"/>
        <v>16:19</v>
      </c>
      <c r="G154" s="20" t="str">
        <f t="shared" ca="1" si="762"/>
        <v/>
      </c>
      <c r="H154" s="20" t="str">
        <f t="shared" ca="1" si="762"/>
        <v/>
      </c>
      <c r="I154" s="20" t="str">
        <f t="shared" ca="1" si="762"/>
        <v/>
      </c>
      <c r="J154" s="20" t="str">
        <f t="shared" ca="1" si="762"/>
        <v>16:23</v>
      </c>
      <c r="K154" s="20" t="str">
        <f t="shared" ca="1" si="762"/>
        <v>16:16</v>
      </c>
      <c r="L154" s="20" t="str">
        <f t="shared" ca="1" si="762"/>
        <v>16:34</v>
      </c>
      <c r="M154" s="20" t="str">
        <f t="shared" ca="1" si="762"/>
        <v>16:39</v>
      </c>
      <c r="N154" s="20" t="str">
        <f t="shared" ca="1" si="762"/>
        <v>16:18</v>
      </c>
      <c r="O154" s="20" t="str">
        <f t="shared" ca="1" si="762"/>
        <v/>
      </c>
      <c r="P154" s="20" t="str">
        <f t="shared" ca="1" si="762"/>
        <v/>
      </c>
      <c r="Q154" s="20" t="str">
        <f t="shared" ca="1" si="762"/>
        <v/>
      </c>
      <c r="R154" s="20" t="str">
        <f t="shared" ca="1" si="762"/>
        <v/>
      </c>
      <c r="S154" s="20" t="str">
        <f t="shared" ca="1" si="762"/>
        <v>16:34</v>
      </c>
      <c r="T154" s="20" t="str">
        <f t="shared" ca="1" si="762"/>
        <v/>
      </c>
      <c r="U154" s="20" t="str">
        <f t="shared" ca="1" si="762"/>
        <v>16:34</v>
      </c>
      <c r="V154" s="20" t="str">
        <f t="shared" ca="1" si="762"/>
        <v/>
      </c>
      <c r="W154" s="20" t="str">
        <f t="shared" ca="1" si="762"/>
        <v/>
      </c>
      <c r="X154" s="20" t="str">
        <f t="shared" ca="1" si="762"/>
        <v>16:37</v>
      </c>
      <c r="Y154" s="20" t="str">
        <f t="shared" ca="1" si="762"/>
        <v/>
      </c>
      <c r="Z154" s="20" t="str">
        <f t="shared" ca="1" si="762"/>
        <v>16:12</v>
      </c>
      <c r="AA154" s="20" t="str">
        <f t="shared" ca="1" si="762"/>
        <v/>
      </c>
      <c r="AB154" s="20" t="str">
        <f t="shared" ca="1" si="762"/>
        <v/>
      </c>
      <c r="AC154" s="20" t="str">
        <f t="shared" ca="1" si="762"/>
        <v/>
      </c>
      <c r="AD154" s="20" t="str">
        <f t="shared" ca="1" si="762"/>
        <v/>
      </c>
      <c r="AE154" s="20" t="str">
        <f t="shared" ca="1" si="762"/>
        <v>16:11</v>
      </c>
      <c r="AF154" s="20" t="str">
        <f t="shared" ca="1" si="762"/>
        <v/>
      </c>
      <c r="AG154" s="20" t="str">
        <f t="shared" ca="1" si="762"/>
        <v>16:47</v>
      </c>
      <c r="AH154" s="20" t="str">
        <f t="shared" ca="1" si="762"/>
        <v>16:34</v>
      </c>
      <c r="AI154" s="20" t="str">
        <f t="shared" ca="1" si="715"/>
        <v/>
      </c>
      <c r="AJ154" s="24" t="s">
        <v>13</v>
      </c>
      <c r="AK154" s="25"/>
      <c r="AL154" s="25"/>
      <c r="AM154" s="25"/>
      <c r="AN154" s="25"/>
      <c r="AO154" s="23" t="s">
        <v>22</v>
      </c>
    </row>
    <row r="155" spans="1:41" ht="15" x14ac:dyDescent="0.3">
      <c r="A155" s="26"/>
      <c r="B155" s="1" t="s">
        <v>22</v>
      </c>
      <c r="C155" s="48" t="s">
        <v>22</v>
      </c>
      <c r="D155" s="45" t="s">
        <v>14</v>
      </c>
      <c r="E155" s="27" t="str">
        <f t="shared" ref="E155:AH155" ca="1" si="763">IF(E152="P", MOD(E154-E153, 1), " ")</f>
        <v xml:space="preserve"> </v>
      </c>
      <c r="F155" s="27">
        <f t="shared" ca="1" si="763"/>
        <v>0.34097222222222223</v>
      </c>
      <c r="G155" s="27" t="str">
        <f t="shared" ca="1" si="763"/>
        <v xml:space="preserve"> </v>
      </c>
      <c r="H155" s="27" t="str">
        <f t="shared" si="763"/>
        <v xml:space="preserve"> </v>
      </c>
      <c r="I155" s="27" t="str">
        <f t="shared" ca="1" si="763"/>
        <v xml:space="preserve"> </v>
      </c>
      <c r="J155" s="27">
        <f t="shared" ca="1" si="763"/>
        <v>0.34513888888888888</v>
      </c>
      <c r="K155" s="27">
        <f t="shared" ca="1" si="763"/>
        <v>0.33958333333333335</v>
      </c>
      <c r="L155" s="27">
        <f t="shared" ca="1" si="763"/>
        <v>0.35138888888888886</v>
      </c>
      <c r="M155" s="27">
        <f t="shared" ca="1" si="763"/>
        <v>0.35555555555555551</v>
      </c>
      <c r="N155" s="27">
        <f t="shared" ca="1" si="763"/>
        <v>0.34166666666666667</v>
      </c>
      <c r="O155" s="27" t="str">
        <f t="shared" si="763"/>
        <v xml:space="preserve"> </v>
      </c>
      <c r="P155" s="27" t="str">
        <f t="shared" ca="1" si="763"/>
        <v xml:space="preserve"> </v>
      </c>
      <c r="Q155" s="27" t="str">
        <f t="shared" ca="1" si="763"/>
        <v xml:space="preserve"> </v>
      </c>
      <c r="R155" s="27" t="str">
        <f t="shared" ca="1" si="763"/>
        <v xml:space="preserve"> </v>
      </c>
      <c r="S155" s="27">
        <f t="shared" ca="1" si="763"/>
        <v>0.35138888888888886</v>
      </c>
      <c r="T155" s="27" t="str">
        <f t="shared" ca="1" si="763"/>
        <v xml:space="preserve"> </v>
      </c>
      <c r="U155" s="27">
        <f t="shared" ca="1" si="763"/>
        <v>0.35138888888888886</v>
      </c>
      <c r="V155" s="27" t="str">
        <f t="shared" si="763"/>
        <v xml:space="preserve"> </v>
      </c>
      <c r="W155" s="27" t="str">
        <f t="shared" ca="1" si="763"/>
        <v xml:space="preserve"> </v>
      </c>
      <c r="X155" s="27">
        <f t="shared" ca="1" si="763"/>
        <v>0.35486111111111107</v>
      </c>
      <c r="Y155" s="27" t="str">
        <f t="shared" ca="1" si="763"/>
        <v xml:space="preserve"> </v>
      </c>
      <c r="Z155" s="27">
        <f t="shared" ca="1" si="763"/>
        <v>0.33611111111111114</v>
      </c>
      <c r="AA155" s="27" t="str">
        <f t="shared" ca="1" si="763"/>
        <v xml:space="preserve"> </v>
      </c>
      <c r="AB155" s="27" t="str">
        <f t="shared" ca="1" si="763"/>
        <v xml:space="preserve"> </v>
      </c>
      <c r="AC155" s="27" t="str">
        <f t="shared" si="763"/>
        <v xml:space="preserve"> </v>
      </c>
      <c r="AD155" s="27" t="str">
        <f t="shared" ca="1" si="763"/>
        <v xml:space="preserve"> </v>
      </c>
      <c r="AE155" s="27">
        <f t="shared" ca="1" si="763"/>
        <v>0.3354166666666667</v>
      </c>
      <c r="AF155" s="27" t="str">
        <f t="shared" ca="1" si="763"/>
        <v xml:space="preserve"> </v>
      </c>
      <c r="AG155" s="27">
        <f t="shared" ca="1" si="763"/>
        <v>0.36111111111111105</v>
      </c>
      <c r="AH155" s="27">
        <f t="shared" ca="1" si="763"/>
        <v>0.35138888888888886</v>
      </c>
      <c r="AI155" s="27" t="str">
        <f t="shared" ca="1" si="716"/>
        <v xml:space="preserve"> </v>
      </c>
      <c r="AJ155" s="28">
        <f t="shared" ref="AJ155" ca="1" si="764">AJ152*8</f>
        <v>104</v>
      </c>
      <c r="AK155" s="29"/>
      <c r="AL155" s="29"/>
      <c r="AM155" s="29"/>
      <c r="AN155" s="29"/>
      <c r="AO155" s="23" t="s">
        <v>22</v>
      </c>
    </row>
    <row r="156" spans="1:41" ht="15" x14ac:dyDescent="0.3">
      <c r="A156" s="26"/>
      <c r="B156" s="1" t="s">
        <v>22</v>
      </c>
      <c r="C156" s="48" t="s">
        <v>22</v>
      </c>
      <c r="D156" s="45" t="s">
        <v>19</v>
      </c>
      <c r="E156" s="27" t="str">
        <f t="shared" ref="E156:AH156" ca="1" si="765">IF(E152="P","08:00"," ")</f>
        <v xml:space="preserve"> </v>
      </c>
      <c r="F156" s="27" t="str">
        <f t="shared" ca="1" si="765"/>
        <v>08:00</v>
      </c>
      <c r="G156" s="27" t="str">
        <f t="shared" ca="1" si="765"/>
        <v xml:space="preserve"> </v>
      </c>
      <c r="H156" s="27" t="str">
        <f t="shared" si="765"/>
        <v xml:space="preserve"> </v>
      </c>
      <c r="I156" s="27" t="str">
        <f t="shared" ca="1" si="765"/>
        <v xml:space="preserve"> </v>
      </c>
      <c r="J156" s="27" t="str">
        <f t="shared" ca="1" si="765"/>
        <v>08:00</v>
      </c>
      <c r="K156" s="27" t="str">
        <f t="shared" ca="1" si="765"/>
        <v>08:00</v>
      </c>
      <c r="L156" s="27" t="str">
        <f t="shared" ca="1" si="765"/>
        <v>08:00</v>
      </c>
      <c r="M156" s="27" t="str">
        <f t="shared" ca="1" si="765"/>
        <v>08:00</v>
      </c>
      <c r="N156" s="27" t="str">
        <f t="shared" ca="1" si="765"/>
        <v>08:00</v>
      </c>
      <c r="O156" s="27" t="str">
        <f t="shared" si="765"/>
        <v xml:space="preserve"> </v>
      </c>
      <c r="P156" s="27" t="str">
        <f t="shared" ca="1" si="765"/>
        <v xml:space="preserve"> </v>
      </c>
      <c r="Q156" s="27" t="str">
        <f t="shared" ca="1" si="765"/>
        <v xml:space="preserve"> </v>
      </c>
      <c r="R156" s="27" t="str">
        <f t="shared" ca="1" si="765"/>
        <v xml:space="preserve"> </v>
      </c>
      <c r="S156" s="27" t="str">
        <f t="shared" ca="1" si="765"/>
        <v>08:00</v>
      </c>
      <c r="T156" s="27" t="str">
        <f t="shared" ca="1" si="765"/>
        <v xml:space="preserve"> </v>
      </c>
      <c r="U156" s="27" t="str">
        <f t="shared" ca="1" si="765"/>
        <v>08:00</v>
      </c>
      <c r="V156" s="27" t="str">
        <f t="shared" si="765"/>
        <v xml:space="preserve"> </v>
      </c>
      <c r="W156" s="27" t="str">
        <f t="shared" ca="1" si="765"/>
        <v xml:space="preserve"> </v>
      </c>
      <c r="X156" s="27" t="str">
        <f t="shared" ca="1" si="765"/>
        <v>08:00</v>
      </c>
      <c r="Y156" s="27" t="str">
        <f t="shared" ca="1" si="765"/>
        <v xml:space="preserve"> </v>
      </c>
      <c r="Z156" s="27" t="str">
        <f t="shared" ca="1" si="765"/>
        <v>08:00</v>
      </c>
      <c r="AA156" s="27" t="str">
        <f t="shared" ca="1" si="765"/>
        <v xml:space="preserve"> </v>
      </c>
      <c r="AB156" s="27" t="str">
        <f t="shared" ca="1" si="765"/>
        <v xml:space="preserve"> </v>
      </c>
      <c r="AC156" s="27" t="str">
        <f t="shared" si="765"/>
        <v xml:space="preserve"> </v>
      </c>
      <c r="AD156" s="27" t="str">
        <f t="shared" ca="1" si="765"/>
        <v xml:space="preserve"> </v>
      </c>
      <c r="AE156" s="27" t="str">
        <f t="shared" ca="1" si="765"/>
        <v>08:00</v>
      </c>
      <c r="AF156" s="27" t="str">
        <f t="shared" ca="1" si="765"/>
        <v xml:space="preserve"> </v>
      </c>
      <c r="AG156" s="27" t="str">
        <f t="shared" ca="1" si="765"/>
        <v>08:00</v>
      </c>
      <c r="AH156" s="27" t="str">
        <f t="shared" ca="1" si="765"/>
        <v>08:00</v>
      </c>
      <c r="AI156" s="27" t="str">
        <f t="shared" ca="1" si="718"/>
        <v xml:space="preserve"> </v>
      </c>
      <c r="AJ156" s="28"/>
      <c r="AK156" s="29"/>
      <c r="AL156" s="29"/>
      <c r="AM156" s="29"/>
      <c r="AN156" s="29"/>
      <c r="AO156" s="23" t="s">
        <v>22</v>
      </c>
    </row>
    <row r="157" spans="1:41" ht="15" x14ac:dyDescent="0.3">
      <c r="A157" s="26"/>
      <c r="B157" s="1" t="s">
        <v>22</v>
      </c>
      <c r="C157" s="48" t="s">
        <v>22</v>
      </c>
      <c r="D157" s="45" t="s">
        <v>12</v>
      </c>
      <c r="E157" s="27" t="str">
        <f t="shared" ref="E157:AH157" ca="1" si="766">IF(E152="P","01:00"," ")</f>
        <v xml:space="preserve"> </v>
      </c>
      <c r="F157" s="27" t="str">
        <f t="shared" ca="1" si="766"/>
        <v>01:00</v>
      </c>
      <c r="G157" s="27" t="str">
        <f t="shared" ca="1" si="766"/>
        <v xml:space="preserve"> </v>
      </c>
      <c r="H157" s="27" t="str">
        <f t="shared" si="766"/>
        <v xml:space="preserve"> </v>
      </c>
      <c r="I157" s="27" t="str">
        <f t="shared" ca="1" si="766"/>
        <v xml:space="preserve"> </v>
      </c>
      <c r="J157" s="27" t="str">
        <f t="shared" ca="1" si="766"/>
        <v>01:00</v>
      </c>
      <c r="K157" s="27" t="str">
        <f t="shared" ca="1" si="766"/>
        <v>01:00</v>
      </c>
      <c r="L157" s="27" t="str">
        <f t="shared" ca="1" si="766"/>
        <v>01:00</v>
      </c>
      <c r="M157" s="27" t="str">
        <f t="shared" ca="1" si="766"/>
        <v>01:00</v>
      </c>
      <c r="N157" s="27" t="str">
        <f t="shared" ca="1" si="766"/>
        <v>01:00</v>
      </c>
      <c r="O157" s="27" t="str">
        <f t="shared" si="766"/>
        <v xml:space="preserve"> </v>
      </c>
      <c r="P157" s="27" t="str">
        <f t="shared" ca="1" si="766"/>
        <v xml:space="preserve"> </v>
      </c>
      <c r="Q157" s="27" t="str">
        <f t="shared" ca="1" si="766"/>
        <v xml:space="preserve"> </v>
      </c>
      <c r="R157" s="27" t="str">
        <f t="shared" ca="1" si="766"/>
        <v xml:space="preserve"> </v>
      </c>
      <c r="S157" s="27" t="str">
        <f t="shared" ca="1" si="766"/>
        <v>01:00</v>
      </c>
      <c r="T157" s="27" t="str">
        <f t="shared" ca="1" si="766"/>
        <v xml:space="preserve"> </v>
      </c>
      <c r="U157" s="27" t="str">
        <f t="shared" ca="1" si="766"/>
        <v>01:00</v>
      </c>
      <c r="V157" s="27" t="str">
        <f t="shared" si="766"/>
        <v xml:space="preserve"> </v>
      </c>
      <c r="W157" s="27" t="str">
        <f t="shared" ca="1" si="766"/>
        <v xml:space="preserve"> </v>
      </c>
      <c r="X157" s="27" t="str">
        <f t="shared" ca="1" si="766"/>
        <v>01:00</v>
      </c>
      <c r="Y157" s="27" t="str">
        <f t="shared" ca="1" si="766"/>
        <v xml:space="preserve"> </v>
      </c>
      <c r="Z157" s="27" t="str">
        <f t="shared" ca="1" si="766"/>
        <v>01:00</v>
      </c>
      <c r="AA157" s="27" t="str">
        <f t="shared" ca="1" si="766"/>
        <v xml:space="preserve"> </v>
      </c>
      <c r="AB157" s="27" t="str">
        <f t="shared" ca="1" si="766"/>
        <v xml:space="preserve"> </v>
      </c>
      <c r="AC157" s="27" t="str">
        <f t="shared" si="766"/>
        <v xml:space="preserve"> </v>
      </c>
      <c r="AD157" s="27" t="str">
        <f t="shared" ca="1" si="766"/>
        <v xml:space="preserve"> </v>
      </c>
      <c r="AE157" s="27" t="str">
        <f t="shared" ca="1" si="766"/>
        <v>01:00</v>
      </c>
      <c r="AF157" s="27" t="str">
        <f t="shared" ca="1" si="766"/>
        <v xml:space="preserve"> </v>
      </c>
      <c r="AG157" s="27" t="str">
        <f t="shared" ca="1" si="766"/>
        <v>01:00</v>
      </c>
      <c r="AH157" s="27" t="str">
        <f t="shared" ca="1" si="766"/>
        <v>01:00</v>
      </c>
      <c r="AI157" s="27" t="str">
        <f t="shared" ca="1" si="719"/>
        <v xml:space="preserve"> </v>
      </c>
      <c r="AJ157" s="24" t="s">
        <v>11</v>
      </c>
      <c r="AK157" s="25"/>
      <c r="AL157" s="25"/>
      <c r="AM157" s="25"/>
      <c r="AN157" s="25"/>
      <c r="AO157" s="23" t="s">
        <v>22</v>
      </c>
    </row>
    <row r="158" spans="1:41" ht="15" x14ac:dyDescent="0.3">
      <c r="A158" s="26"/>
      <c r="B158" s="1" t="s">
        <v>22</v>
      </c>
      <c r="C158" s="48" t="s">
        <v>22</v>
      </c>
      <c r="D158" s="45" t="s">
        <v>11</v>
      </c>
      <c r="E158" s="27" t="str">
        <f t="shared" ref="E158:AH158" ca="1" si="767">IF(E152="P",E155-E157," ")</f>
        <v xml:space="preserve"> </v>
      </c>
      <c r="F158" s="27">
        <f t="shared" ca="1" si="767"/>
        <v>0.29930555555555555</v>
      </c>
      <c r="G158" s="27" t="str">
        <f t="shared" ca="1" si="767"/>
        <v xml:space="preserve"> </v>
      </c>
      <c r="H158" s="27" t="str">
        <f t="shared" si="767"/>
        <v xml:space="preserve"> </v>
      </c>
      <c r="I158" s="27" t="str">
        <f t="shared" ca="1" si="767"/>
        <v xml:space="preserve"> </v>
      </c>
      <c r="J158" s="27">
        <f t="shared" ca="1" si="767"/>
        <v>0.3034722222222222</v>
      </c>
      <c r="K158" s="27">
        <f t="shared" ca="1" si="767"/>
        <v>0.29791666666666666</v>
      </c>
      <c r="L158" s="27">
        <f t="shared" ca="1" si="767"/>
        <v>0.30972222222222218</v>
      </c>
      <c r="M158" s="27">
        <f t="shared" ca="1" si="767"/>
        <v>0.31388888888888883</v>
      </c>
      <c r="N158" s="27">
        <f t="shared" ca="1" si="767"/>
        <v>0.3</v>
      </c>
      <c r="O158" s="27" t="str">
        <f t="shared" si="767"/>
        <v xml:space="preserve"> </v>
      </c>
      <c r="P158" s="27" t="str">
        <f t="shared" ca="1" si="767"/>
        <v xml:space="preserve"> </v>
      </c>
      <c r="Q158" s="27" t="str">
        <f t="shared" ca="1" si="767"/>
        <v xml:space="preserve"> </v>
      </c>
      <c r="R158" s="27" t="str">
        <f t="shared" ca="1" si="767"/>
        <v xml:space="preserve"> </v>
      </c>
      <c r="S158" s="27">
        <f t="shared" ca="1" si="767"/>
        <v>0.30972222222222218</v>
      </c>
      <c r="T158" s="27" t="str">
        <f t="shared" ca="1" si="767"/>
        <v xml:space="preserve"> </v>
      </c>
      <c r="U158" s="27">
        <f t="shared" ca="1" si="767"/>
        <v>0.30972222222222218</v>
      </c>
      <c r="V158" s="27" t="str">
        <f t="shared" si="767"/>
        <v xml:space="preserve"> </v>
      </c>
      <c r="W158" s="27" t="str">
        <f t="shared" ca="1" si="767"/>
        <v xml:space="preserve"> </v>
      </c>
      <c r="X158" s="27">
        <f t="shared" ca="1" si="767"/>
        <v>0.31319444444444439</v>
      </c>
      <c r="Y158" s="27" t="str">
        <f t="shared" ca="1" si="767"/>
        <v xml:space="preserve"> </v>
      </c>
      <c r="Z158" s="27">
        <f t="shared" ca="1" si="767"/>
        <v>0.29444444444444445</v>
      </c>
      <c r="AA158" s="27" t="str">
        <f t="shared" ca="1" si="767"/>
        <v xml:space="preserve"> </v>
      </c>
      <c r="AB158" s="27" t="str">
        <f t="shared" ca="1" si="767"/>
        <v xml:space="preserve"> </v>
      </c>
      <c r="AC158" s="27" t="str">
        <f t="shared" si="767"/>
        <v xml:space="preserve"> </v>
      </c>
      <c r="AD158" s="27" t="str">
        <f t="shared" ca="1" si="767"/>
        <v xml:space="preserve"> </v>
      </c>
      <c r="AE158" s="27">
        <f t="shared" ca="1" si="767"/>
        <v>0.29375000000000001</v>
      </c>
      <c r="AF158" s="27" t="str">
        <f t="shared" ca="1" si="767"/>
        <v xml:space="preserve"> </v>
      </c>
      <c r="AG158" s="27">
        <f t="shared" ca="1" si="767"/>
        <v>0.31944444444444436</v>
      </c>
      <c r="AH158" s="27">
        <f t="shared" ca="1" si="767"/>
        <v>0.30972222222222218</v>
      </c>
      <c r="AI158" s="27" t="str">
        <f t="shared" ca="1" si="720"/>
        <v xml:space="preserve"> </v>
      </c>
      <c r="AJ158" s="30">
        <f t="shared" ref="AJ158:AJ159" ca="1" si="768">SUM(E158:AH158)</f>
        <v>3.9743055555555555</v>
      </c>
      <c r="AK158" s="25"/>
      <c r="AL158" s="25"/>
      <c r="AM158" s="25"/>
      <c r="AN158" s="25"/>
      <c r="AO158" s="23" t="s">
        <v>22</v>
      </c>
    </row>
    <row r="159" spans="1:41" ht="15.6" thickBot="1" x14ac:dyDescent="0.35">
      <c r="A159" s="31"/>
      <c r="B159" s="32" t="s">
        <v>22</v>
      </c>
      <c r="C159" s="49" t="s">
        <v>22</v>
      </c>
      <c r="D159" s="46" t="s">
        <v>20</v>
      </c>
      <c r="E159" s="33" t="str">
        <f t="shared" ref="E159:AH159" ca="1" si="769">IF(E152="P",(IF(E156&gt;E158,0,E158-E156))," ")</f>
        <v xml:space="preserve"> </v>
      </c>
      <c r="F159" s="33">
        <f t="shared" ca="1" si="769"/>
        <v>0</v>
      </c>
      <c r="G159" s="33" t="str">
        <f t="shared" ca="1" si="769"/>
        <v xml:space="preserve"> </v>
      </c>
      <c r="H159" s="33" t="str">
        <f t="shared" si="769"/>
        <v xml:space="preserve"> </v>
      </c>
      <c r="I159" s="33" t="str">
        <f t="shared" ca="1" si="769"/>
        <v xml:space="preserve"> </v>
      </c>
      <c r="J159" s="33">
        <f t="shared" ca="1" si="769"/>
        <v>0</v>
      </c>
      <c r="K159" s="33">
        <f t="shared" ca="1" si="769"/>
        <v>0</v>
      </c>
      <c r="L159" s="33">
        <f t="shared" ca="1" si="769"/>
        <v>0</v>
      </c>
      <c r="M159" s="33">
        <f t="shared" ca="1" si="769"/>
        <v>0</v>
      </c>
      <c r="N159" s="33">
        <f t="shared" ca="1" si="769"/>
        <v>0</v>
      </c>
      <c r="O159" s="33" t="str">
        <f t="shared" si="769"/>
        <v xml:space="preserve"> </v>
      </c>
      <c r="P159" s="33" t="str">
        <f t="shared" ca="1" si="769"/>
        <v xml:space="preserve"> </v>
      </c>
      <c r="Q159" s="33" t="str">
        <f t="shared" ca="1" si="769"/>
        <v xml:space="preserve"> </v>
      </c>
      <c r="R159" s="33" t="str">
        <f t="shared" ca="1" si="769"/>
        <v xml:space="preserve"> </v>
      </c>
      <c r="S159" s="33">
        <f t="shared" ca="1" si="769"/>
        <v>0</v>
      </c>
      <c r="T159" s="33" t="str">
        <f t="shared" ca="1" si="769"/>
        <v xml:space="preserve"> </v>
      </c>
      <c r="U159" s="33">
        <f t="shared" ca="1" si="769"/>
        <v>0</v>
      </c>
      <c r="V159" s="33" t="str">
        <f t="shared" si="769"/>
        <v xml:space="preserve"> </v>
      </c>
      <c r="W159" s="33" t="str">
        <f t="shared" ca="1" si="769"/>
        <v xml:space="preserve"> </v>
      </c>
      <c r="X159" s="33">
        <f t="shared" ca="1" si="769"/>
        <v>0</v>
      </c>
      <c r="Y159" s="33" t="str">
        <f t="shared" ca="1" si="769"/>
        <v xml:space="preserve"> </v>
      </c>
      <c r="Z159" s="33">
        <f t="shared" ca="1" si="769"/>
        <v>0</v>
      </c>
      <c r="AA159" s="33" t="str">
        <f t="shared" ca="1" si="769"/>
        <v xml:space="preserve"> </v>
      </c>
      <c r="AB159" s="33" t="str">
        <f t="shared" ca="1" si="769"/>
        <v xml:space="preserve"> </v>
      </c>
      <c r="AC159" s="33" t="str">
        <f t="shared" si="769"/>
        <v xml:space="preserve"> </v>
      </c>
      <c r="AD159" s="33" t="str">
        <f t="shared" ca="1" si="769"/>
        <v xml:space="preserve"> </v>
      </c>
      <c r="AE159" s="33">
        <f t="shared" ca="1" si="769"/>
        <v>0</v>
      </c>
      <c r="AF159" s="33" t="str">
        <f t="shared" ca="1" si="769"/>
        <v xml:space="preserve"> </v>
      </c>
      <c r="AG159" s="33">
        <f t="shared" ca="1" si="769"/>
        <v>0</v>
      </c>
      <c r="AH159" s="33">
        <f t="shared" ca="1" si="769"/>
        <v>0</v>
      </c>
      <c r="AI159" s="33" t="str">
        <f t="shared" ca="1" si="722"/>
        <v xml:space="preserve"> </v>
      </c>
      <c r="AJ159" s="34">
        <f t="shared" ca="1" si="768"/>
        <v>0</v>
      </c>
      <c r="AK159" s="35"/>
      <c r="AL159" s="35"/>
      <c r="AM159" s="35"/>
      <c r="AN159" s="35"/>
      <c r="AO159" s="36" t="s">
        <v>22</v>
      </c>
    </row>
    <row r="160" spans="1:41" ht="15.6" thickBot="1" x14ac:dyDescent="0.35">
      <c r="A160" s="14"/>
      <c r="B160" s="15" t="s">
        <v>22</v>
      </c>
      <c r="C160" s="47" t="s">
        <v>22</v>
      </c>
      <c r="D160" s="37" t="s">
        <v>66</v>
      </c>
      <c r="E160" s="9">
        <f t="shared" ref="E160:T160" ca="1" si="770">IF(OR(E$5="",E$5=0),-2,IF(E$6=$D161,-1,RAND()))</f>
        <v>0.18315317263664843</v>
      </c>
      <c r="F160" s="9">
        <f t="shared" ca="1" si="770"/>
        <v>0.15596137493712114</v>
      </c>
      <c r="G160" s="9">
        <f t="shared" ca="1" si="770"/>
        <v>0.92344981751434108</v>
      </c>
      <c r="H160" s="9">
        <f t="shared" ca="1" si="770"/>
        <v>0.39691945044108956</v>
      </c>
      <c r="I160" s="9">
        <f t="shared" ca="1" si="770"/>
        <v>-1</v>
      </c>
      <c r="J160" s="9">
        <f t="shared" ca="1" si="770"/>
        <v>0.48705854779048408</v>
      </c>
      <c r="K160" s="9">
        <f t="shared" ca="1" si="770"/>
        <v>0.34178336786550723</v>
      </c>
      <c r="L160" s="9">
        <f t="shared" ca="1" si="770"/>
        <v>0.85505850303395403</v>
      </c>
      <c r="M160" s="9">
        <f t="shared" ca="1" si="770"/>
        <v>0.48374467435645996</v>
      </c>
      <c r="N160" s="9">
        <f t="shared" ca="1" si="770"/>
        <v>0.89748545889975517</v>
      </c>
      <c r="O160" s="9">
        <f t="shared" ca="1" si="770"/>
        <v>0.89660621459977974</v>
      </c>
      <c r="P160" s="9">
        <f t="shared" ca="1" si="770"/>
        <v>-1</v>
      </c>
      <c r="Q160" s="9">
        <f t="shared" ca="1" si="770"/>
        <v>0.53000402039574457</v>
      </c>
      <c r="R160" s="9">
        <f t="shared" ca="1" si="770"/>
        <v>0.71651340115219153</v>
      </c>
      <c r="S160" s="9">
        <f t="shared" ca="1" si="770"/>
        <v>0.42051739274884736</v>
      </c>
      <c r="T160" s="9">
        <f t="shared" ca="1" si="770"/>
        <v>0.48155257993517331</v>
      </c>
      <c r="U160" s="9">
        <f t="shared" ref="U160:AI160" ca="1" si="771">IF(OR(U$5="",U$5=0),-2,IF(U$6=$D161,-1,RAND()))</f>
        <v>0.80408937700604899</v>
      </c>
      <c r="V160" s="9">
        <f t="shared" ca="1" si="771"/>
        <v>0.59801928326204434</v>
      </c>
      <c r="W160" s="9">
        <f t="shared" ca="1" si="771"/>
        <v>-1</v>
      </c>
      <c r="X160" s="9">
        <f t="shared" ca="1" si="771"/>
        <v>0.22308310494523143</v>
      </c>
      <c r="Y160" s="9">
        <f t="shared" ca="1" si="771"/>
        <v>0.2766908506803889</v>
      </c>
      <c r="Z160" s="9">
        <f t="shared" ca="1" si="771"/>
        <v>0.95779654351535615</v>
      </c>
      <c r="AA160" s="9">
        <f t="shared" ca="1" si="771"/>
        <v>0.63388182243340152</v>
      </c>
      <c r="AB160" s="9">
        <f t="shared" ca="1" si="771"/>
        <v>0.77604389170342269</v>
      </c>
      <c r="AC160" s="9">
        <f t="shared" ca="1" si="771"/>
        <v>0.7829495694815638</v>
      </c>
      <c r="AD160" s="9">
        <f t="shared" ca="1" si="771"/>
        <v>-1</v>
      </c>
      <c r="AE160" s="9">
        <f t="shared" ca="1" si="771"/>
        <v>0.43297836147252622</v>
      </c>
      <c r="AF160" s="9">
        <f t="shared" ca="1" si="771"/>
        <v>0.64519478121487406</v>
      </c>
      <c r="AG160" s="9">
        <f t="shared" ca="1" si="771"/>
        <v>0.37943321167374777</v>
      </c>
      <c r="AH160" s="9">
        <f t="shared" ca="1" si="771"/>
        <v>0.18685041820510284</v>
      </c>
      <c r="AI160" s="9">
        <f t="shared" ca="1" si="771"/>
        <v>0.26376614540992438</v>
      </c>
      <c r="AJ160" s="38"/>
      <c r="AK160" s="37"/>
      <c r="AL160" s="37"/>
      <c r="AM160" s="37"/>
      <c r="AN160" s="37"/>
      <c r="AO160" s="39" t="s">
        <v>22</v>
      </c>
    </row>
    <row r="161" spans="1:41" ht="15.6" thickBot="1" x14ac:dyDescent="0.35">
      <c r="A161" s="42"/>
      <c r="B161" s="44" t="s">
        <v>39</v>
      </c>
      <c r="C161" s="43" t="s">
        <v>61</v>
      </c>
      <c r="D161" s="37" t="s">
        <v>70</v>
      </c>
      <c r="E161" s="9" t="str">
        <f t="shared" ref="E161" ca="1" si="772">IF(OR(E$5="",E$5=0),"",IF(E$6=$D161,"W",IF(_xlfn.RANK.EQ(E160,$E160:$AI160,0)&lt;=INT($AO161),"P",IF(AND(_xlfn.RANK.EQ(E160,$E160:$AI160,0)=INT($AO161)+1,MOD($AO161,1)=0.5),"H","A"))))</f>
        <v>P</v>
      </c>
      <c r="F161" s="9" t="str">
        <f t="shared" ref="F161" ca="1" si="773">IF(OR(F$5="",F$5=0),"",IF(F$6=$D161,"W",IF(_xlfn.RANK.EQ(F160,$E160:$AI160,0)&lt;=INT($AO161),"P",IF(AND(_xlfn.RANK.EQ(F160,$E160:$AI160,0)=INT($AO161)+1,MOD($AO161,1)=0.5),"H","A"))))</f>
        <v>A</v>
      </c>
      <c r="G161" s="9" t="str">
        <f t="shared" ref="G161" ca="1" si="774">IF(OR(G$5="",G$5=0),"",IF(G$6=$D161,"W",IF(_xlfn.RANK.EQ(G160,$E160:$AI160,0)&lt;=INT($AO161),"P",IF(AND(_xlfn.RANK.EQ(G160,$E160:$AI160,0)=INT($AO161)+1,MOD($AO161,1)=0.5),"H","A"))))</f>
        <v>P</v>
      </c>
      <c r="H161" s="9" t="str">
        <f t="shared" ref="H161" ca="1" si="775">IF(OR(H$5="",H$5=0),"",IF(H$6=$D161,"W",IF(_xlfn.RANK.EQ(H160,$E160:$AI160,0)&lt;=INT($AO161),"P",IF(AND(_xlfn.RANK.EQ(H160,$E160:$AI160,0)=INT($AO161)+1,MOD($AO161,1)=0.5),"H","A"))))</f>
        <v>P</v>
      </c>
      <c r="I161" s="9" t="str">
        <f t="shared" ref="I161" si="776">IF(OR(I$5="",I$5=0),"",IF(I$6=$D161,"W",IF(_xlfn.RANK.EQ(I160,$E160:$AI160,0)&lt;=INT($AO161),"P",IF(AND(_xlfn.RANK.EQ(I160,$E160:$AI160,0)=INT($AO161)+1,MOD($AO161,1)=0.5),"H","A"))))</f>
        <v>W</v>
      </c>
      <c r="J161" s="9" t="str">
        <f t="shared" ref="J161" ca="1" si="777">IF(OR(J$5="",J$5=0),"",IF(J$6=$D161,"W",IF(_xlfn.RANK.EQ(J160,$E160:$AI160,0)&lt;=INT($AO161),"P",IF(AND(_xlfn.RANK.EQ(J160,$E160:$AI160,0)=INT($AO161)+1,MOD($AO161,1)=0.5),"H","A"))))</f>
        <v>P</v>
      </c>
      <c r="K161" s="9" t="str">
        <f t="shared" ref="K161" ca="1" si="778">IF(OR(K$5="",K$5=0),"",IF(K$6=$D161,"W",IF(_xlfn.RANK.EQ(K160,$E160:$AI160,0)&lt;=INT($AO161),"P",IF(AND(_xlfn.RANK.EQ(K160,$E160:$AI160,0)=INT($AO161)+1,MOD($AO161,1)=0.5),"H","A"))))</f>
        <v>P</v>
      </c>
      <c r="L161" s="9" t="str">
        <f t="shared" ref="L161" ca="1" si="779">IF(OR(L$5="",L$5=0),"",IF(L$6=$D161,"W",IF(_xlfn.RANK.EQ(L160,$E160:$AI160,0)&lt;=INT($AO161),"P",IF(AND(_xlfn.RANK.EQ(L160,$E160:$AI160,0)=INT($AO161)+1,MOD($AO161,1)=0.5),"H","A"))))</f>
        <v>P</v>
      </c>
      <c r="M161" s="9" t="str">
        <f t="shared" ref="M161" ca="1" si="780">IF(OR(M$5="",M$5=0),"",IF(M$6=$D161,"W",IF(_xlfn.RANK.EQ(M160,$E160:$AI160,0)&lt;=INT($AO161),"P",IF(AND(_xlfn.RANK.EQ(M160,$E160:$AI160,0)=INT($AO161)+1,MOD($AO161,1)=0.5),"H","A"))))</f>
        <v>P</v>
      </c>
      <c r="N161" s="9" t="str">
        <f t="shared" ref="N161" ca="1" si="781">IF(OR(N$5="",N$5=0),"",IF(N$6=$D161,"W",IF(_xlfn.RANK.EQ(N160,$E160:$AI160,0)&lt;=INT($AO161),"P",IF(AND(_xlfn.RANK.EQ(N160,$E160:$AI160,0)=INT($AO161)+1,MOD($AO161,1)=0.5),"H","A"))))</f>
        <v>P</v>
      </c>
      <c r="O161" s="9" t="str">
        <f t="shared" ref="O161" ca="1" si="782">IF(OR(O$5="",O$5=0),"",IF(O$6=$D161,"W",IF(_xlfn.RANK.EQ(O160,$E160:$AI160,0)&lt;=INT($AO161),"P",IF(AND(_xlfn.RANK.EQ(O160,$E160:$AI160,0)=INT($AO161)+1,MOD($AO161,1)=0.5),"H","A"))))</f>
        <v>P</v>
      </c>
      <c r="P161" s="9" t="str">
        <f t="shared" ref="P161" si="783">IF(OR(P$5="",P$5=0),"",IF(P$6=$D161,"W",IF(_xlfn.RANK.EQ(P160,$E160:$AI160,0)&lt;=INT($AO161),"P",IF(AND(_xlfn.RANK.EQ(P160,$E160:$AI160,0)=INT($AO161)+1,MOD($AO161,1)=0.5),"H","A"))))</f>
        <v>W</v>
      </c>
      <c r="Q161" s="9" t="str">
        <f t="shared" ref="Q161" ca="1" si="784">IF(OR(Q$5="",Q$5=0),"",IF(Q$6=$D161,"W",IF(_xlfn.RANK.EQ(Q160,$E160:$AI160,0)&lt;=INT($AO161),"P",IF(AND(_xlfn.RANK.EQ(Q160,$E160:$AI160,0)=INT($AO161)+1,MOD($AO161,1)=0.5),"H","A"))))</f>
        <v>P</v>
      </c>
      <c r="R161" s="9" t="str">
        <f t="shared" ref="R161" ca="1" si="785">IF(OR(R$5="",R$5=0),"",IF(R$6=$D161,"W",IF(_xlfn.RANK.EQ(R160,$E160:$AI160,0)&lt;=INT($AO161),"P",IF(AND(_xlfn.RANK.EQ(R160,$E160:$AI160,0)=INT($AO161)+1,MOD($AO161,1)=0.5),"H","A"))))</f>
        <v>P</v>
      </c>
      <c r="S161" s="9" t="str">
        <f t="shared" ref="S161" ca="1" si="786">IF(OR(S$5="",S$5=0),"",IF(S$6=$D161,"W",IF(_xlfn.RANK.EQ(S160,$E160:$AI160,0)&lt;=INT($AO161),"P",IF(AND(_xlfn.RANK.EQ(S160,$E160:$AI160,0)=INT($AO161)+1,MOD($AO161,1)=0.5),"H","A"))))</f>
        <v>P</v>
      </c>
      <c r="T161" s="9" t="str">
        <f t="shared" ref="T161" ca="1" si="787">IF(OR(T$5="",T$5=0),"",IF(T$6=$D161,"W",IF(_xlfn.RANK.EQ(T160,$E160:$AI160,0)&lt;=INT($AO161),"P",IF(AND(_xlfn.RANK.EQ(T160,$E160:$AI160,0)=INT($AO161)+1,MOD($AO161,1)=0.5),"H","A"))))</f>
        <v>P</v>
      </c>
      <c r="U161" s="9" t="str">
        <f t="shared" ref="U161" ca="1" si="788">IF(OR(U$5="",U$5=0),"",IF(U$6=$D161,"W",IF(_xlfn.RANK.EQ(U160,$E160:$AI160,0)&lt;=INT($AO161),"P",IF(AND(_xlfn.RANK.EQ(U160,$E160:$AI160,0)=INT($AO161)+1,MOD($AO161,1)=0.5),"H","A"))))</f>
        <v>P</v>
      </c>
      <c r="V161" s="9" t="str">
        <f t="shared" ref="V161" ca="1" si="789">IF(OR(V$5="",V$5=0),"",IF(V$6=$D161,"W",IF(_xlfn.RANK.EQ(V160,$E160:$AI160,0)&lt;=INT($AO161),"P",IF(AND(_xlfn.RANK.EQ(V160,$E160:$AI160,0)=INT($AO161)+1,MOD($AO161,1)=0.5),"H","A"))))</f>
        <v>P</v>
      </c>
      <c r="W161" s="9" t="str">
        <f t="shared" ref="W161" si="790">IF(OR(W$5="",W$5=0),"",IF(W$6=$D161,"W",IF(_xlfn.RANK.EQ(W160,$E160:$AI160,0)&lt;=INT($AO161),"P",IF(AND(_xlfn.RANK.EQ(W160,$E160:$AI160,0)=INT($AO161)+1,MOD($AO161,1)=0.5),"H","A"))))</f>
        <v>W</v>
      </c>
      <c r="X161" s="9" t="str">
        <f t="shared" ref="X161" ca="1" si="791">IF(OR(X$5="",X$5=0),"",IF(X$6=$D161,"W",IF(_xlfn.RANK.EQ(X160,$E160:$AI160,0)&lt;=INT($AO161),"P",IF(AND(_xlfn.RANK.EQ(X160,$E160:$AI160,0)=INT($AO161)+1,MOD($AO161,1)=0.5),"H","A"))))</f>
        <v>P</v>
      </c>
      <c r="Y161" s="9" t="str">
        <f t="shared" ref="Y161" ca="1" si="792">IF(OR(Y$5="",Y$5=0),"",IF(Y$6=$D161,"W",IF(_xlfn.RANK.EQ(Y160,$E160:$AI160,0)&lt;=INT($AO161),"P",IF(AND(_xlfn.RANK.EQ(Y160,$E160:$AI160,0)=INT($AO161)+1,MOD($AO161,1)=0.5),"H","A"))))</f>
        <v>P</v>
      </c>
      <c r="Z161" s="9" t="str">
        <f t="shared" ref="Z161" ca="1" si="793">IF(OR(Z$5="",Z$5=0),"",IF(Z$6=$D161,"W",IF(_xlfn.RANK.EQ(Z160,$E160:$AI160,0)&lt;=INT($AO161),"P",IF(AND(_xlfn.RANK.EQ(Z160,$E160:$AI160,0)=INT($AO161)+1,MOD($AO161,1)=0.5),"H","A"))))</f>
        <v>P</v>
      </c>
      <c r="AA161" s="9" t="str">
        <f t="shared" ref="AA161" ca="1" si="794">IF(OR(AA$5="",AA$5=0),"",IF(AA$6=$D161,"W",IF(_xlfn.RANK.EQ(AA160,$E160:$AI160,0)&lt;=INT($AO161),"P",IF(AND(_xlfn.RANK.EQ(AA160,$E160:$AI160,0)=INT($AO161)+1,MOD($AO161,1)=0.5),"H","A"))))</f>
        <v>P</v>
      </c>
      <c r="AB161" s="9" t="str">
        <f t="shared" ref="AB161" ca="1" si="795">IF(OR(AB$5="",AB$5=0),"",IF(AB$6=$D161,"W",IF(_xlfn.RANK.EQ(AB160,$E160:$AI160,0)&lt;=INT($AO161),"P",IF(AND(_xlfn.RANK.EQ(AB160,$E160:$AI160,0)=INT($AO161)+1,MOD($AO161,1)=0.5),"H","A"))))</f>
        <v>P</v>
      </c>
      <c r="AC161" s="9" t="str">
        <f t="shared" ref="AC161" ca="1" si="796">IF(OR(AC$5="",AC$5=0),"",IF(AC$6=$D161,"W",IF(_xlfn.RANK.EQ(AC160,$E160:$AI160,0)&lt;=INT($AO161),"P",IF(AND(_xlfn.RANK.EQ(AC160,$E160:$AI160,0)=INT($AO161)+1,MOD($AO161,1)=0.5),"H","A"))))</f>
        <v>P</v>
      </c>
      <c r="AD161" s="9" t="str">
        <f t="shared" ref="AD161" si="797">IF(OR(AD$5="",AD$5=0),"",IF(AD$6=$D161,"W",IF(_xlfn.RANK.EQ(AD160,$E160:$AI160,0)&lt;=INT($AO161),"P",IF(AND(_xlfn.RANK.EQ(AD160,$E160:$AI160,0)=INT($AO161)+1,MOD($AO161,1)=0.5),"H","A"))))</f>
        <v>W</v>
      </c>
      <c r="AE161" s="9" t="str">
        <f t="shared" ref="AE161" ca="1" si="798">IF(OR(AE$5="",AE$5=0),"",IF(AE$6=$D161,"W",IF(_xlfn.RANK.EQ(AE160,$E160:$AI160,0)&lt;=INT($AO161),"P",IF(AND(_xlfn.RANK.EQ(AE160,$E160:$AI160,0)=INT($AO161)+1,MOD($AO161,1)=0.5),"H","A"))))</f>
        <v>P</v>
      </c>
      <c r="AF161" s="9" t="str">
        <f t="shared" ref="AF161" ca="1" si="799">IF(OR(AF$5="",AF$5=0),"",IF(AF$6=$D161,"W",IF(_xlfn.RANK.EQ(AF160,$E160:$AI160,0)&lt;=INT($AO161),"P",IF(AND(_xlfn.RANK.EQ(AF160,$E160:$AI160,0)=INT($AO161)+1,MOD($AO161,1)=0.5),"H","A"))))</f>
        <v>P</v>
      </c>
      <c r="AG161" s="9" t="str">
        <f t="shared" ref="AG161" ca="1" si="800">IF(OR(AG$5="",AG$5=0),"",IF(AG$6=$D161,"W",IF(_xlfn.RANK.EQ(AG160,$E160:$AI160,0)&lt;=INT($AO161),"P",IF(AND(_xlfn.RANK.EQ(AG160,$E160:$AI160,0)=INT($AO161)+1,MOD($AO161,1)=0.5),"H","A"))))</f>
        <v>P</v>
      </c>
      <c r="AH161" s="9" t="str">
        <f t="shared" ref="AH161" ca="1" si="801">IF(OR(AH$5="",AH$5=0),"",IF(AH$6=$D161,"W",IF(_xlfn.RANK.EQ(AH160,$E160:$AI160,0)&lt;=INT($AO161),"P",IF(AND(_xlfn.RANK.EQ(AH160,$E160:$AI160,0)=INT($AO161)+1,MOD($AO161,1)=0.5),"H","A"))))</f>
        <v>P</v>
      </c>
      <c r="AI161" s="9" t="str">
        <f t="shared" ref="AI161" ca="1" si="802">IF(OR(AI$5="",AI$5=0),"",IF(AI$6=$D161,"W",IF(_xlfn.RANK.EQ(AI160,$E160:$AI160,0)&lt;=INT($AO161),"P",IF(AND(_xlfn.RANK.EQ(AI160,$E160:$AI160,0)=INT($AO161)+1,MOD($AO161,1)=0.5),"H","A"))))</f>
        <v>P</v>
      </c>
      <c r="AJ161" s="16">
        <f t="shared" ref="AJ161" ca="1" si="803">COUNTIF(E161:AI161, "P")</f>
        <v>26</v>
      </c>
      <c r="AK161" s="17">
        <f t="shared" ref="AK161" ca="1" si="804">COUNTIF(E161:AH161, "A")</f>
        <v>1</v>
      </c>
      <c r="AL161" s="17">
        <f t="shared" ref="AL161" ca="1" si="805">COUNTIF(E161:AH161, "W")</f>
        <v>4</v>
      </c>
      <c r="AM161" s="17">
        <f t="shared" ref="AM161" ca="1" si="806">COUNTIF(E161:AH161, "H")</f>
        <v>0</v>
      </c>
      <c r="AN161" s="17">
        <f t="shared" ref="AN161" ca="1" si="807">COUNTIF(E161:AH161, "PL")</f>
        <v>0</v>
      </c>
      <c r="AO161" s="18">
        <v>26</v>
      </c>
    </row>
    <row r="162" spans="1:41" ht="15" x14ac:dyDescent="0.3">
      <c r="A162" s="19"/>
      <c r="B162" s="1" t="s">
        <v>22</v>
      </c>
      <c r="C162" s="48" t="s">
        <v>22</v>
      </c>
      <c r="D162" s="45" t="s">
        <v>1</v>
      </c>
      <c r="E162" s="20" t="str">
        <f t="shared" ref="E162:AI171" ca="1" si="808">IF(E161="P", IF($D160="G", TEXT(RAND()*(9.27-9.62)/24+9.62/24,"HH:MM"), IF($D160="A", TEXT(RAND()*(8.06-8.1)/24+8.15/24,"HH:MM"), IF($D160="B", TEXT(RAND()*(16.06-16.1)/24+16.15/24,"HH:MM"), IF($D160="C", TEXT(RAND()*(24.85-24.13)/24+24.13/24,"HH:MM"), " ")))), "")</f>
        <v>00:13</v>
      </c>
      <c r="F162" s="20" t="str">
        <f t="shared" ca="1" si="808"/>
        <v/>
      </c>
      <c r="G162" s="20" t="str">
        <f t="shared" ca="1" si="808"/>
        <v>00:24</v>
      </c>
      <c r="H162" s="20" t="str">
        <f t="shared" ca="1" si="808"/>
        <v>00:41</v>
      </c>
      <c r="I162" s="20" t="str">
        <f t="shared" ca="1" si="808"/>
        <v/>
      </c>
      <c r="J162" s="20" t="str">
        <f t="shared" ca="1" si="808"/>
        <v>00:22</v>
      </c>
      <c r="K162" s="20" t="str">
        <f t="shared" ca="1" si="808"/>
        <v>00:42</v>
      </c>
      <c r="L162" s="20" t="str">
        <f t="shared" ca="1" si="808"/>
        <v>00:09</v>
      </c>
      <c r="M162" s="20" t="str">
        <f t="shared" ca="1" si="808"/>
        <v>00:31</v>
      </c>
      <c r="N162" s="20" t="str">
        <f t="shared" ca="1" si="808"/>
        <v>00:11</v>
      </c>
      <c r="O162" s="20" t="str">
        <f t="shared" ca="1" si="808"/>
        <v>00:34</v>
      </c>
      <c r="P162" s="20" t="str">
        <f t="shared" ca="1" si="808"/>
        <v/>
      </c>
      <c r="Q162" s="20" t="str">
        <f t="shared" ca="1" si="808"/>
        <v>00:44</v>
      </c>
      <c r="R162" s="20" t="str">
        <f t="shared" ca="1" si="808"/>
        <v>00:07</v>
      </c>
      <c r="S162" s="20" t="str">
        <f t="shared" ca="1" si="808"/>
        <v>00:19</v>
      </c>
      <c r="T162" s="20" t="str">
        <f t="shared" ca="1" si="808"/>
        <v>00:41</v>
      </c>
      <c r="U162" s="20" t="str">
        <f t="shared" ca="1" si="808"/>
        <v>00:25</v>
      </c>
      <c r="V162" s="20" t="str">
        <f t="shared" ca="1" si="808"/>
        <v>00:49</v>
      </c>
      <c r="W162" s="20" t="str">
        <f t="shared" ca="1" si="808"/>
        <v/>
      </c>
      <c r="X162" s="20" t="str">
        <f t="shared" ca="1" si="808"/>
        <v>00:10</v>
      </c>
      <c r="Y162" s="20" t="str">
        <f t="shared" ca="1" si="808"/>
        <v>00:10</v>
      </c>
      <c r="Z162" s="20" t="str">
        <f t="shared" ca="1" si="808"/>
        <v>00:28</v>
      </c>
      <c r="AA162" s="20" t="str">
        <f t="shared" ca="1" si="808"/>
        <v>00:24</v>
      </c>
      <c r="AB162" s="20" t="str">
        <f t="shared" ca="1" si="808"/>
        <v>00:17</v>
      </c>
      <c r="AC162" s="20" t="str">
        <f t="shared" ca="1" si="808"/>
        <v>00:15</v>
      </c>
      <c r="AD162" s="20" t="str">
        <f t="shared" ca="1" si="808"/>
        <v/>
      </c>
      <c r="AE162" s="20" t="str">
        <f t="shared" ca="1" si="808"/>
        <v>00:23</v>
      </c>
      <c r="AF162" s="20" t="str">
        <f t="shared" ca="1" si="808"/>
        <v>00:12</v>
      </c>
      <c r="AG162" s="20" t="str">
        <f t="shared" ca="1" si="808"/>
        <v>00:37</v>
      </c>
      <c r="AH162" s="20" t="str">
        <f t="shared" ca="1" si="808"/>
        <v>00:27</v>
      </c>
      <c r="AI162" s="20" t="str">
        <f t="shared" ca="1" si="808"/>
        <v>00:46</v>
      </c>
      <c r="AJ162" s="21"/>
      <c r="AK162" s="22"/>
      <c r="AL162" s="22"/>
      <c r="AM162" s="22"/>
      <c r="AN162" s="22"/>
      <c r="AO162" s="23" t="s">
        <v>22</v>
      </c>
    </row>
    <row r="163" spans="1:41" ht="15" x14ac:dyDescent="0.3">
      <c r="A163" s="19"/>
      <c r="B163" s="1" t="s">
        <v>22</v>
      </c>
      <c r="C163" s="48" t="s">
        <v>22</v>
      </c>
      <c r="D163" s="45" t="s">
        <v>2</v>
      </c>
      <c r="E163" s="20" t="str">
        <f t="shared" ref="E163:AI172" ca="1" si="809">IF(E161="P", IF($D160="G", TEXT(RAND()*(18.85-18.13)/24+18.13/24,"HH:MM"), IF($D160="A", TEXT(RAND()*(16.85-16.13)/24+16.13/24,"HH:MM"), IF($D160="B", TEXT(RAND()*(24.85-24.13)/24+24.13/24,"HH:MM"), IF($D160="C", TEXT(RAND()*(8.85-8.13)/24+8.13/24,"HH:MM"), " ")))), "")</f>
        <v>08:46</v>
      </c>
      <c r="F163" s="20" t="str">
        <f t="shared" ca="1" si="809"/>
        <v/>
      </c>
      <c r="G163" s="20" t="str">
        <f t="shared" ca="1" si="809"/>
        <v>08:36</v>
      </c>
      <c r="H163" s="20" t="str">
        <f t="shared" ca="1" si="809"/>
        <v>08:14</v>
      </c>
      <c r="I163" s="20" t="str">
        <f t="shared" ca="1" si="809"/>
        <v/>
      </c>
      <c r="J163" s="20" t="str">
        <f t="shared" ca="1" si="809"/>
        <v>08:38</v>
      </c>
      <c r="K163" s="20" t="str">
        <f t="shared" ca="1" si="809"/>
        <v>08:24</v>
      </c>
      <c r="L163" s="20" t="str">
        <f t="shared" ca="1" si="809"/>
        <v>08:30</v>
      </c>
      <c r="M163" s="20" t="str">
        <f t="shared" ca="1" si="809"/>
        <v>08:33</v>
      </c>
      <c r="N163" s="20" t="str">
        <f t="shared" ca="1" si="809"/>
        <v>08:31</v>
      </c>
      <c r="O163" s="20" t="str">
        <f t="shared" ca="1" si="809"/>
        <v>08:37</v>
      </c>
      <c r="P163" s="20" t="str">
        <f t="shared" ca="1" si="809"/>
        <v/>
      </c>
      <c r="Q163" s="20" t="str">
        <f t="shared" ca="1" si="809"/>
        <v>08:34</v>
      </c>
      <c r="R163" s="20" t="str">
        <f t="shared" ca="1" si="809"/>
        <v>08:19</v>
      </c>
      <c r="S163" s="20" t="str">
        <f t="shared" ca="1" si="809"/>
        <v>08:17</v>
      </c>
      <c r="T163" s="20" t="str">
        <f t="shared" ca="1" si="809"/>
        <v>08:44</v>
      </c>
      <c r="U163" s="20" t="str">
        <f t="shared" ca="1" si="809"/>
        <v>08:45</v>
      </c>
      <c r="V163" s="20" t="str">
        <f t="shared" ca="1" si="809"/>
        <v>08:09</v>
      </c>
      <c r="W163" s="20" t="str">
        <f t="shared" ca="1" si="809"/>
        <v/>
      </c>
      <c r="X163" s="20" t="str">
        <f t="shared" ca="1" si="809"/>
        <v>08:20</v>
      </c>
      <c r="Y163" s="20" t="str">
        <f t="shared" ca="1" si="809"/>
        <v>08:19</v>
      </c>
      <c r="Z163" s="20" t="str">
        <f t="shared" ca="1" si="809"/>
        <v>08:13</v>
      </c>
      <c r="AA163" s="20" t="str">
        <f t="shared" ca="1" si="809"/>
        <v>08:46</v>
      </c>
      <c r="AB163" s="20" t="str">
        <f t="shared" ca="1" si="809"/>
        <v>08:47</v>
      </c>
      <c r="AC163" s="20" t="str">
        <f t="shared" ca="1" si="809"/>
        <v>08:14</v>
      </c>
      <c r="AD163" s="20" t="str">
        <f t="shared" ca="1" si="809"/>
        <v/>
      </c>
      <c r="AE163" s="20" t="str">
        <f t="shared" ca="1" si="809"/>
        <v>08:46</v>
      </c>
      <c r="AF163" s="20" t="str">
        <f t="shared" ca="1" si="809"/>
        <v>08:26</v>
      </c>
      <c r="AG163" s="20" t="str">
        <f t="shared" ca="1" si="809"/>
        <v>08:41</v>
      </c>
      <c r="AH163" s="20" t="str">
        <f t="shared" ca="1" si="809"/>
        <v>08:12</v>
      </c>
      <c r="AI163" s="20" t="str">
        <f t="shared" ca="1" si="809"/>
        <v>08:35</v>
      </c>
      <c r="AJ163" s="24" t="s">
        <v>13</v>
      </c>
      <c r="AK163" s="25"/>
      <c r="AL163" s="25"/>
      <c r="AM163" s="25"/>
      <c r="AN163" s="25"/>
      <c r="AO163" s="23" t="s">
        <v>22</v>
      </c>
    </row>
    <row r="164" spans="1:41" ht="15" x14ac:dyDescent="0.3">
      <c r="A164" s="26"/>
      <c r="B164" s="1" t="s">
        <v>22</v>
      </c>
      <c r="C164" s="48" t="s">
        <v>22</v>
      </c>
      <c r="D164" s="45" t="s">
        <v>14</v>
      </c>
      <c r="E164" s="27">
        <f t="shared" ref="E164:AI173" ca="1" si="810">IF(E161="P", MOD(E163-E162, 1), " ")</f>
        <v>0.35624999999999996</v>
      </c>
      <c r="F164" s="27" t="str">
        <f t="shared" ca="1" si="810"/>
        <v xml:space="preserve"> </v>
      </c>
      <c r="G164" s="27">
        <f t="shared" ca="1" si="810"/>
        <v>0.34166666666666667</v>
      </c>
      <c r="H164" s="27">
        <f t="shared" ca="1" si="810"/>
        <v>0.31458333333333333</v>
      </c>
      <c r="I164" s="27" t="str">
        <f t="shared" si="810"/>
        <v xml:space="preserve"> </v>
      </c>
      <c r="J164" s="27">
        <f t="shared" ca="1" si="810"/>
        <v>0.34444444444444444</v>
      </c>
      <c r="K164" s="27">
        <f t="shared" ca="1" si="810"/>
        <v>0.3208333333333333</v>
      </c>
      <c r="L164" s="27">
        <f t="shared" ca="1" si="810"/>
        <v>0.34791666666666671</v>
      </c>
      <c r="M164" s="27">
        <f t="shared" ca="1" si="810"/>
        <v>0.33472222222222225</v>
      </c>
      <c r="N164" s="27">
        <f t="shared" ca="1" si="810"/>
        <v>0.34722222222222227</v>
      </c>
      <c r="O164" s="27">
        <f t="shared" ca="1" si="810"/>
        <v>0.3354166666666667</v>
      </c>
      <c r="P164" s="27" t="str">
        <f t="shared" si="810"/>
        <v xml:space="preserve"> </v>
      </c>
      <c r="Q164" s="27">
        <f t="shared" ca="1" si="810"/>
        <v>0.3263888888888889</v>
      </c>
      <c r="R164" s="27">
        <f t="shared" ca="1" si="810"/>
        <v>0.34166666666666667</v>
      </c>
      <c r="S164" s="27">
        <f t="shared" ca="1" si="810"/>
        <v>0.33194444444444443</v>
      </c>
      <c r="T164" s="27">
        <f t="shared" ca="1" si="810"/>
        <v>0.33541666666666664</v>
      </c>
      <c r="U164" s="27">
        <f t="shared" ca="1" si="810"/>
        <v>0.34722222222222221</v>
      </c>
      <c r="V164" s="27">
        <f t="shared" ca="1" si="810"/>
        <v>0.30555555555555558</v>
      </c>
      <c r="W164" s="27" t="str">
        <f t="shared" si="810"/>
        <v xml:space="preserve"> </v>
      </c>
      <c r="X164" s="27">
        <f t="shared" ca="1" si="810"/>
        <v>0.34027777777777779</v>
      </c>
      <c r="Y164" s="27">
        <f t="shared" ca="1" si="810"/>
        <v>0.33958333333333335</v>
      </c>
      <c r="Z164" s="27">
        <f t="shared" ca="1" si="810"/>
        <v>0.32291666666666669</v>
      </c>
      <c r="AA164" s="27">
        <f t="shared" ca="1" si="810"/>
        <v>0.34861111111111109</v>
      </c>
      <c r="AB164" s="27">
        <f t="shared" ca="1" si="810"/>
        <v>0.35416666666666663</v>
      </c>
      <c r="AC164" s="27">
        <f t="shared" ca="1" si="810"/>
        <v>0.33263888888888887</v>
      </c>
      <c r="AD164" s="27" t="str">
        <f t="shared" si="810"/>
        <v xml:space="preserve"> </v>
      </c>
      <c r="AE164" s="27">
        <f t="shared" ca="1" si="810"/>
        <v>0.34930555555555554</v>
      </c>
      <c r="AF164" s="27">
        <f t="shared" ca="1" si="810"/>
        <v>0.3430555555555555</v>
      </c>
      <c r="AG164" s="27">
        <f t="shared" ca="1" si="810"/>
        <v>0.33611111111111108</v>
      </c>
      <c r="AH164" s="27">
        <f t="shared" ca="1" si="810"/>
        <v>0.32291666666666669</v>
      </c>
      <c r="AI164" s="27">
        <f t="shared" ca="1" si="810"/>
        <v>0.32569444444444445</v>
      </c>
      <c r="AJ164" s="28">
        <f t="shared" ref="AJ164" ca="1" si="811">AJ161*8</f>
        <v>208</v>
      </c>
      <c r="AK164" s="29"/>
      <c r="AL164" s="29"/>
      <c r="AM164" s="29"/>
      <c r="AN164" s="29"/>
      <c r="AO164" s="23" t="s">
        <v>22</v>
      </c>
    </row>
    <row r="165" spans="1:41" ht="15" x14ac:dyDescent="0.3">
      <c r="A165" s="26"/>
      <c r="B165" s="1" t="s">
        <v>22</v>
      </c>
      <c r="C165" s="48" t="s">
        <v>22</v>
      </c>
      <c r="D165" s="45" t="s">
        <v>19</v>
      </c>
      <c r="E165" s="27" t="str">
        <f t="shared" ref="E165:AI174" ca="1" si="812">IF(E161="P","08:00"," ")</f>
        <v>08:00</v>
      </c>
      <c r="F165" s="27" t="str">
        <f t="shared" ca="1" si="812"/>
        <v xml:space="preserve"> </v>
      </c>
      <c r="G165" s="27" t="str">
        <f t="shared" ca="1" si="812"/>
        <v>08:00</v>
      </c>
      <c r="H165" s="27" t="str">
        <f t="shared" ca="1" si="812"/>
        <v>08:00</v>
      </c>
      <c r="I165" s="27" t="str">
        <f t="shared" si="812"/>
        <v xml:space="preserve"> </v>
      </c>
      <c r="J165" s="27" t="str">
        <f t="shared" ca="1" si="812"/>
        <v>08:00</v>
      </c>
      <c r="K165" s="27" t="str">
        <f t="shared" ca="1" si="812"/>
        <v>08:00</v>
      </c>
      <c r="L165" s="27" t="str">
        <f t="shared" ca="1" si="812"/>
        <v>08:00</v>
      </c>
      <c r="M165" s="27" t="str">
        <f t="shared" ca="1" si="812"/>
        <v>08:00</v>
      </c>
      <c r="N165" s="27" t="str">
        <f t="shared" ca="1" si="812"/>
        <v>08:00</v>
      </c>
      <c r="O165" s="27" t="str">
        <f t="shared" ca="1" si="812"/>
        <v>08:00</v>
      </c>
      <c r="P165" s="27" t="str">
        <f t="shared" si="812"/>
        <v xml:space="preserve"> </v>
      </c>
      <c r="Q165" s="27" t="str">
        <f t="shared" ca="1" si="812"/>
        <v>08:00</v>
      </c>
      <c r="R165" s="27" t="str">
        <f t="shared" ca="1" si="812"/>
        <v>08:00</v>
      </c>
      <c r="S165" s="27" t="str">
        <f t="shared" ca="1" si="812"/>
        <v>08:00</v>
      </c>
      <c r="T165" s="27" t="str">
        <f t="shared" ca="1" si="812"/>
        <v>08:00</v>
      </c>
      <c r="U165" s="27" t="str">
        <f t="shared" ca="1" si="812"/>
        <v>08:00</v>
      </c>
      <c r="V165" s="27" t="str">
        <f t="shared" ca="1" si="812"/>
        <v>08:00</v>
      </c>
      <c r="W165" s="27" t="str">
        <f t="shared" si="812"/>
        <v xml:space="preserve"> </v>
      </c>
      <c r="X165" s="27" t="str">
        <f t="shared" ca="1" si="812"/>
        <v>08:00</v>
      </c>
      <c r="Y165" s="27" t="str">
        <f t="shared" ca="1" si="812"/>
        <v>08:00</v>
      </c>
      <c r="Z165" s="27" t="str">
        <f t="shared" ca="1" si="812"/>
        <v>08:00</v>
      </c>
      <c r="AA165" s="27" t="str">
        <f t="shared" ca="1" si="812"/>
        <v>08:00</v>
      </c>
      <c r="AB165" s="27" t="str">
        <f t="shared" ca="1" si="812"/>
        <v>08:00</v>
      </c>
      <c r="AC165" s="27" t="str">
        <f t="shared" ca="1" si="812"/>
        <v>08:00</v>
      </c>
      <c r="AD165" s="27" t="str">
        <f t="shared" si="812"/>
        <v xml:space="preserve"> </v>
      </c>
      <c r="AE165" s="27" t="str">
        <f t="shared" ca="1" si="812"/>
        <v>08:00</v>
      </c>
      <c r="AF165" s="27" t="str">
        <f t="shared" ca="1" si="812"/>
        <v>08:00</v>
      </c>
      <c r="AG165" s="27" t="str">
        <f t="shared" ca="1" si="812"/>
        <v>08:00</v>
      </c>
      <c r="AH165" s="27" t="str">
        <f t="shared" ca="1" si="812"/>
        <v>08:00</v>
      </c>
      <c r="AI165" s="27" t="str">
        <f t="shared" ca="1" si="812"/>
        <v>08:00</v>
      </c>
      <c r="AJ165" s="28"/>
      <c r="AK165" s="29"/>
      <c r="AL165" s="29"/>
      <c r="AM165" s="29"/>
      <c r="AN165" s="29"/>
      <c r="AO165" s="23" t="s">
        <v>22</v>
      </c>
    </row>
    <row r="166" spans="1:41" ht="15" x14ac:dyDescent="0.3">
      <c r="A166" s="26"/>
      <c r="B166" s="1" t="s">
        <v>22</v>
      </c>
      <c r="C166" s="48" t="s">
        <v>22</v>
      </c>
      <c r="D166" s="45" t="s">
        <v>12</v>
      </c>
      <c r="E166" s="27" t="str">
        <f t="shared" ref="E166:AI175" ca="1" si="813">IF(E161="P","01:00"," ")</f>
        <v>01:00</v>
      </c>
      <c r="F166" s="27" t="str">
        <f t="shared" ca="1" si="813"/>
        <v xml:space="preserve"> </v>
      </c>
      <c r="G166" s="27" t="str">
        <f t="shared" ca="1" si="813"/>
        <v>01:00</v>
      </c>
      <c r="H166" s="27" t="str">
        <f t="shared" ca="1" si="813"/>
        <v>01:00</v>
      </c>
      <c r="I166" s="27" t="str">
        <f t="shared" si="813"/>
        <v xml:space="preserve"> </v>
      </c>
      <c r="J166" s="27" t="str">
        <f t="shared" ca="1" si="813"/>
        <v>01:00</v>
      </c>
      <c r="K166" s="27" t="str">
        <f t="shared" ca="1" si="813"/>
        <v>01:00</v>
      </c>
      <c r="L166" s="27" t="str">
        <f t="shared" ca="1" si="813"/>
        <v>01:00</v>
      </c>
      <c r="M166" s="27" t="str">
        <f t="shared" ca="1" si="813"/>
        <v>01:00</v>
      </c>
      <c r="N166" s="27" t="str">
        <f t="shared" ca="1" si="813"/>
        <v>01:00</v>
      </c>
      <c r="O166" s="27" t="str">
        <f t="shared" ca="1" si="813"/>
        <v>01:00</v>
      </c>
      <c r="P166" s="27" t="str">
        <f t="shared" si="813"/>
        <v xml:space="preserve"> </v>
      </c>
      <c r="Q166" s="27" t="str">
        <f t="shared" ca="1" si="813"/>
        <v>01:00</v>
      </c>
      <c r="R166" s="27" t="str">
        <f t="shared" ca="1" si="813"/>
        <v>01:00</v>
      </c>
      <c r="S166" s="27" t="str">
        <f t="shared" ca="1" si="813"/>
        <v>01:00</v>
      </c>
      <c r="T166" s="27" t="str">
        <f t="shared" ca="1" si="813"/>
        <v>01:00</v>
      </c>
      <c r="U166" s="27" t="str">
        <f t="shared" ca="1" si="813"/>
        <v>01:00</v>
      </c>
      <c r="V166" s="27" t="str">
        <f t="shared" ca="1" si="813"/>
        <v>01:00</v>
      </c>
      <c r="W166" s="27" t="str">
        <f t="shared" si="813"/>
        <v xml:space="preserve"> </v>
      </c>
      <c r="X166" s="27" t="str">
        <f t="shared" ca="1" si="813"/>
        <v>01:00</v>
      </c>
      <c r="Y166" s="27" t="str">
        <f t="shared" ca="1" si="813"/>
        <v>01:00</v>
      </c>
      <c r="Z166" s="27" t="str">
        <f t="shared" ca="1" si="813"/>
        <v>01:00</v>
      </c>
      <c r="AA166" s="27" t="str">
        <f t="shared" ca="1" si="813"/>
        <v>01:00</v>
      </c>
      <c r="AB166" s="27" t="str">
        <f t="shared" ca="1" si="813"/>
        <v>01:00</v>
      </c>
      <c r="AC166" s="27" t="str">
        <f t="shared" ca="1" si="813"/>
        <v>01:00</v>
      </c>
      <c r="AD166" s="27" t="str">
        <f t="shared" si="813"/>
        <v xml:space="preserve"> </v>
      </c>
      <c r="AE166" s="27" t="str">
        <f t="shared" ca="1" si="813"/>
        <v>01:00</v>
      </c>
      <c r="AF166" s="27" t="str">
        <f t="shared" ca="1" si="813"/>
        <v>01:00</v>
      </c>
      <c r="AG166" s="27" t="str">
        <f t="shared" ca="1" si="813"/>
        <v>01:00</v>
      </c>
      <c r="AH166" s="27" t="str">
        <f t="shared" ca="1" si="813"/>
        <v>01:00</v>
      </c>
      <c r="AI166" s="27" t="str">
        <f t="shared" ca="1" si="813"/>
        <v>01:00</v>
      </c>
      <c r="AJ166" s="24" t="s">
        <v>11</v>
      </c>
      <c r="AK166" s="25"/>
      <c r="AL166" s="25"/>
      <c r="AM166" s="25"/>
      <c r="AN166" s="25"/>
      <c r="AO166" s="23" t="s">
        <v>22</v>
      </c>
    </row>
    <row r="167" spans="1:41" ht="15" x14ac:dyDescent="0.3">
      <c r="A167" s="26"/>
      <c r="B167" s="1" t="s">
        <v>22</v>
      </c>
      <c r="C167" s="48" t="s">
        <v>22</v>
      </c>
      <c r="D167" s="45" t="s">
        <v>11</v>
      </c>
      <c r="E167" s="27">
        <f t="shared" ref="E167:AI176" ca="1" si="814">IF(E161="P",E164-E166," ")</f>
        <v>0.31458333333333327</v>
      </c>
      <c r="F167" s="27" t="str">
        <f t="shared" ca="1" si="814"/>
        <v xml:space="preserve"> </v>
      </c>
      <c r="G167" s="27">
        <f t="shared" ca="1" si="814"/>
        <v>0.3</v>
      </c>
      <c r="H167" s="27">
        <f t="shared" ca="1" si="814"/>
        <v>0.27291666666666664</v>
      </c>
      <c r="I167" s="27" t="str">
        <f t="shared" si="814"/>
        <v xml:space="preserve"> </v>
      </c>
      <c r="J167" s="27">
        <f t="shared" ca="1" si="814"/>
        <v>0.30277777777777776</v>
      </c>
      <c r="K167" s="27">
        <f t="shared" ca="1" si="814"/>
        <v>0.27916666666666662</v>
      </c>
      <c r="L167" s="27">
        <f t="shared" ca="1" si="814"/>
        <v>0.30625000000000002</v>
      </c>
      <c r="M167" s="27">
        <f t="shared" ca="1" si="814"/>
        <v>0.29305555555555557</v>
      </c>
      <c r="N167" s="27">
        <f t="shared" ca="1" si="814"/>
        <v>0.30555555555555558</v>
      </c>
      <c r="O167" s="27">
        <f t="shared" ca="1" si="814"/>
        <v>0.29375000000000001</v>
      </c>
      <c r="P167" s="27" t="str">
        <f t="shared" si="814"/>
        <v xml:space="preserve"> </v>
      </c>
      <c r="Q167" s="27">
        <f t="shared" ca="1" si="814"/>
        <v>0.28472222222222221</v>
      </c>
      <c r="R167" s="27">
        <f t="shared" ca="1" si="814"/>
        <v>0.3</v>
      </c>
      <c r="S167" s="27">
        <f t="shared" ca="1" si="814"/>
        <v>0.29027777777777775</v>
      </c>
      <c r="T167" s="27">
        <f t="shared" ca="1" si="814"/>
        <v>0.29374999999999996</v>
      </c>
      <c r="U167" s="27">
        <f t="shared" ca="1" si="814"/>
        <v>0.30555555555555552</v>
      </c>
      <c r="V167" s="27">
        <f t="shared" ca="1" si="814"/>
        <v>0.2638888888888889</v>
      </c>
      <c r="W167" s="27" t="str">
        <f t="shared" si="814"/>
        <v xml:space="preserve"> </v>
      </c>
      <c r="X167" s="27">
        <f t="shared" ca="1" si="814"/>
        <v>0.2986111111111111</v>
      </c>
      <c r="Y167" s="27">
        <f t="shared" ca="1" si="814"/>
        <v>0.29791666666666666</v>
      </c>
      <c r="Z167" s="27">
        <f t="shared" ca="1" si="814"/>
        <v>0.28125</v>
      </c>
      <c r="AA167" s="27">
        <f t="shared" ca="1" si="814"/>
        <v>0.30694444444444441</v>
      </c>
      <c r="AB167" s="27">
        <f t="shared" ca="1" si="814"/>
        <v>0.31249999999999994</v>
      </c>
      <c r="AC167" s="27">
        <f t="shared" ca="1" si="814"/>
        <v>0.29097222222222219</v>
      </c>
      <c r="AD167" s="27" t="str">
        <f t="shared" si="814"/>
        <v xml:space="preserve"> </v>
      </c>
      <c r="AE167" s="27">
        <f t="shared" ca="1" si="814"/>
        <v>0.30763888888888885</v>
      </c>
      <c r="AF167" s="27">
        <f t="shared" ca="1" si="814"/>
        <v>0.30138888888888882</v>
      </c>
      <c r="AG167" s="27">
        <f t="shared" ca="1" si="814"/>
        <v>0.2944444444444444</v>
      </c>
      <c r="AH167" s="27">
        <f t="shared" ca="1" si="814"/>
        <v>0.28125</v>
      </c>
      <c r="AI167" s="27">
        <f t="shared" ca="1" si="814"/>
        <v>0.28402777777777777</v>
      </c>
      <c r="AJ167" s="30">
        <f t="shared" ref="AJ167:AJ168" ca="1" si="815">SUM(E167:AH167)</f>
        <v>7.3791666666666664</v>
      </c>
      <c r="AK167" s="25"/>
      <c r="AL167" s="25"/>
      <c r="AM167" s="25"/>
      <c r="AN167" s="25"/>
      <c r="AO167" s="23" t="s">
        <v>22</v>
      </c>
    </row>
    <row r="168" spans="1:41" ht="15.6" thickBot="1" x14ac:dyDescent="0.35">
      <c r="A168" s="31"/>
      <c r="B168" s="32" t="s">
        <v>22</v>
      </c>
      <c r="C168" s="49" t="s">
        <v>22</v>
      </c>
      <c r="D168" s="46" t="s">
        <v>20</v>
      </c>
      <c r="E168" s="33">
        <f t="shared" ref="E168:AI177" ca="1" si="816">IF(E161="P",(IF(E165&gt;E167,0,E167-E165))," ")</f>
        <v>0</v>
      </c>
      <c r="F168" s="33" t="str">
        <f t="shared" ca="1" si="816"/>
        <v xml:space="preserve"> </v>
      </c>
      <c r="G168" s="33">
        <f t="shared" ca="1" si="816"/>
        <v>0</v>
      </c>
      <c r="H168" s="33">
        <f t="shared" ca="1" si="816"/>
        <v>0</v>
      </c>
      <c r="I168" s="33" t="str">
        <f t="shared" si="816"/>
        <v xml:space="preserve"> </v>
      </c>
      <c r="J168" s="33">
        <f t="shared" ca="1" si="816"/>
        <v>0</v>
      </c>
      <c r="K168" s="33">
        <f t="shared" ca="1" si="816"/>
        <v>0</v>
      </c>
      <c r="L168" s="33">
        <f t="shared" ca="1" si="816"/>
        <v>0</v>
      </c>
      <c r="M168" s="33">
        <f t="shared" ca="1" si="816"/>
        <v>0</v>
      </c>
      <c r="N168" s="33">
        <f t="shared" ca="1" si="816"/>
        <v>0</v>
      </c>
      <c r="O168" s="33">
        <f t="shared" ca="1" si="816"/>
        <v>0</v>
      </c>
      <c r="P168" s="33" t="str">
        <f t="shared" si="816"/>
        <v xml:space="preserve"> </v>
      </c>
      <c r="Q168" s="33">
        <f t="shared" ca="1" si="816"/>
        <v>0</v>
      </c>
      <c r="R168" s="33">
        <f t="shared" ca="1" si="816"/>
        <v>0</v>
      </c>
      <c r="S168" s="33">
        <f t="shared" ca="1" si="816"/>
        <v>0</v>
      </c>
      <c r="T168" s="33">
        <f t="shared" ca="1" si="816"/>
        <v>0</v>
      </c>
      <c r="U168" s="33">
        <f t="shared" ca="1" si="816"/>
        <v>0</v>
      </c>
      <c r="V168" s="33">
        <f t="shared" ca="1" si="816"/>
        <v>0</v>
      </c>
      <c r="W168" s="33" t="str">
        <f t="shared" si="816"/>
        <v xml:space="preserve"> </v>
      </c>
      <c r="X168" s="33">
        <f t="shared" ca="1" si="816"/>
        <v>0</v>
      </c>
      <c r="Y168" s="33">
        <f t="shared" ca="1" si="816"/>
        <v>0</v>
      </c>
      <c r="Z168" s="33">
        <f t="shared" ca="1" si="816"/>
        <v>0</v>
      </c>
      <c r="AA168" s="33">
        <f t="shared" ca="1" si="816"/>
        <v>0</v>
      </c>
      <c r="AB168" s="33">
        <f t="shared" ca="1" si="816"/>
        <v>0</v>
      </c>
      <c r="AC168" s="33">
        <f t="shared" ca="1" si="816"/>
        <v>0</v>
      </c>
      <c r="AD168" s="33" t="str">
        <f t="shared" si="816"/>
        <v xml:space="preserve"> </v>
      </c>
      <c r="AE168" s="33">
        <f t="shared" ca="1" si="816"/>
        <v>0</v>
      </c>
      <c r="AF168" s="33">
        <f t="shared" ca="1" si="816"/>
        <v>0</v>
      </c>
      <c r="AG168" s="33">
        <f t="shared" ca="1" si="816"/>
        <v>0</v>
      </c>
      <c r="AH168" s="33">
        <f t="shared" ca="1" si="816"/>
        <v>0</v>
      </c>
      <c r="AI168" s="33">
        <f t="shared" ca="1" si="816"/>
        <v>0</v>
      </c>
      <c r="AJ168" s="34">
        <f t="shared" ca="1" si="815"/>
        <v>0</v>
      </c>
      <c r="AK168" s="35"/>
      <c r="AL168" s="35"/>
      <c r="AM168" s="35"/>
      <c r="AN168" s="35"/>
      <c r="AO168" s="36" t="s">
        <v>22</v>
      </c>
    </row>
    <row r="169" spans="1:41" ht="15.6" thickBot="1" x14ac:dyDescent="0.35">
      <c r="A169" s="14"/>
      <c r="B169" s="15" t="s">
        <v>22</v>
      </c>
      <c r="C169" s="47" t="s">
        <v>22</v>
      </c>
      <c r="D169" s="37" t="s">
        <v>3</v>
      </c>
      <c r="E169" s="9">
        <f t="shared" ref="E169:T169" ca="1" si="817">IF(OR(E$5="",E$5=0),-2,IF(E$6=$D170,-1,RAND()))</f>
        <v>0.12229066461232807</v>
      </c>
      <c r="F169" s="9">
        <f t="shared" ca="1" si="817"/>
        <v>0.95971807793918507</v>
      </c>
      <c r="G169" s="9">
        <f t="shared" ca="1" si="817"/>
        <v>0.48005602262719638</v>
      </c>
      <c r="H169" s="9">
        <f t="shared" ca="1" si="817"/>
        <v>0.15131140913308561</v>
      </c>
      <c r="I169" s="9">
        <f t="shared" ca="1" si="817"/>
        <v>8.6108001282300117E-3</v>
      </c>
      <c r="J169" s="9">
        <f t="shared" ca="1" si="817"/>
        <v>-1</v>
      </c>
      <c r="K169" s="9">
        <f t="shared" ca="1" si="817"/>
        <v>0.63945637801940824</v>
      </c>
      <c r="L169" s="9">
        <f t="shared" ca="1" si="817"/>
        <v>0.26894535784404905</v>
      </c>
      <c r="M169" s="9">
        <f t="shared" ca="1" si="817"/>
        <v>0.70043920743324795</v>
      </c>
      <c r="N169" s="9">
        <f t="shared" ca="1" si="817"/>
        <v>0.64055788444564121</v>
      </c>
      <c r="O169" s="9">
        <f t="shared" ca="1" si="817"/>
        <v>4.7829207376267613E-3</v>
      </c>
      <c r="P169" s="9">
        <f t="shared" ca="1" si="817"/>
        <v>0.53620317054270639</v>
      </c>
      <c r="Q169" s="9">
        <f t="shared" ca="1" si="817"/>
        <v>-1</v>
      </c>
      <c r="R169" s="9">
        <f t="shared" ca="1" si="817"/>
        <v>0.52823051398122323</v>
      </c>
      <c r="S169" s="9">
        <f t="shared" ca="1" si="817"/>
        <v>0.13995038519252756</v>
      </c>
      <c r="T169" s="9">
        <f t="shared" ca="1" si="817"/>
        <v>0.54882051513503205</v>
      </c>
      <c r="U169" s="9">
        <f t="shared" ref="U169:AI169" ca="1" si="818">IF(OR(U$5="",U$5=0),-2,IF(U$6=$D170,-1,RAND()))</f>
        <v>0.37652092869190001</v>
      </c>
      <c r="V169" s="9">
        <f t="shared" ca="1" si="818"/>
        <v>0.17083064081051591</v>
      </c>
      <c r="W169" s="9">
        <f t="shared" ca="1" si="818"/>
        <v>0.91376416594005516</v>
      </c>
      <c r="X169" s="9">
        <f t="shared" ca="1" si="818"/>
        <v>-1</v>
      </c>
      <c r="Y169" s="9">
        <f t="shared" ca="1" si="818"/>
        <v>3.9132588024452852E-2</v>
      </c>
      <c r="Z169" s="9">
        <f t="shared" ca="1" si="818"/>
        <v>0.12376092938134964</v>
      </c>
      <c r="AA169" s="9">
        <f t="shared" ca="1" si="818"/>
        <v>0.61969018759934613</v>
      </c>
      <c r="AB169" s="9">
        <f t="shared" ca="1" si="818"/>
        <v>0.25976194827829313</v>
      </c>
      <c r="AC169" s="9">
        <f t="shared" ca="1" si="818"/>
        <v>0.90166890704752301</v>
      </c>
      <c r="AD169" s="9">
        <f t="shared" ca="1" si="818"/>
        <v>0.84778836611699848</v>
      </c>
      <c r="AE169" s="9">
        <f t="shared" ca="1" si="818"/>
        <v>-1</v>
      </c>
      <c r="AF169" s="9">
        <f t="shared" ca="1" si="818"/>
        <v>0.2618411399445385</v>
      </c>
      <c r="AG169" s="9">
        <f t="shared" ca="1" si="818"/>
        <v>0.74205924272488155</v>
      </c>
      <c r="AH169" s="9">
        <f t="shared" ca="1" si="818"/>
        <v>0.49446531126764592</v>
      </c>
      <c r="AI169" s="9">
        <f t="shared" ca="1" si="818"/>
        <v>0.21743693876256609</v>
      </c>
      <c r="AJ169" s="38"/>
      <c r="AK169" s="37"/>
      <c r="AL169" s="37"/>
      <c r="AM169" s="37"/>
      <c r="AN169" s="37"/>
      <c r="AO169" s="39" t="s">
        <v>22</v>
      </c>
    </row>
    <row r="170" spans="1:41" ht="15.6" thickBot="1" x14ac:dyDescent="0.35">
      <c r="A170" s="42"/>
      <c r="B170" s="44" t="s">
        <v>40</v>
      </c>
      <c r="C170" s="43" t="s">
        <v>62</v>
      </c>
      <c r="D170" s="37" t="s">
        <v>73</v>
      </c>
      <c r="E170" s="9" t="str">
        <f t="shared" ref="E170" ca="1" si="819">IF(OR(E$5="",E$5=0),"",IF(E$6=$D170,"W",IF(_xlfn.RANK.EQ(E169,$E169:$AI169,0)&lt;=INT($AO170),"P",IF(AND(_xlfn.RANK.EQ(E169,$E169:$AI169,0)=INT($AO170)+1,MOD($AO170,1)=0.5),"H","A"))))</f>
        <v>P</v>
      </c>
      <c r="F170" s="9" t="str">
        <f t="shared" ref="F170" ca="1" si="820">IF(OR(F$5="",F$5=0),"",IF(F$6=$D170,"W",IF(_xlfn.RANK.EQ(F169,$E169:$AI169,0)&lt;=INT($AO170),"P",IF(AND(_xlfn.RANK.EQ(F169,$E169:$AI169,0)=INT($AO170)+1,MOD($AO170,1)=0.5),"H","A"))))</f>
        <v>P</v>
      </c>
      <c r="G170" s="9" t="str">
        <f t="shared" ref="G170" ca="1" si="821">IF(OR(G$5="",G$5=0),"",IF(G$6=$D170,"W",IF(_xlfn.RANK.EQ(G169,$E169:$AI169,0)&lt;=INT($AO170),"P",IF(AND(_xlfn.RANK.EQ(G169,$E169:$AI169,0)=INT($AO170)+1,MOD($AO170,1)=0.5),"H","A"))))</f>
        <v>P</v>
      </c>
      <c r="H170" s="9" t="str">
        <f t="shared" ref="H170" ca="1" si="822">IF(OR(H$5="",H$5=0),"",IF(H$6=$D170,"W",IF(_xlfn.RANK.EQ(H169,$E169:$AI169,0)&lt;=INT($AO170),"P",IF(AND(_xlfn.RANK.EQ(H169,$E169:$AI169,0)=INT($AO170)+1,MOD($AO170,1)=0.5),"H","A"))))</f>
        <v>P</v>
      </c>
      <c r="I170" s="9" t="str">
        <f t="shared" ref="I170" ca="1" si="823">IF(OR(I$5="",I$5=0),"",IF(I$6=$D170,"W",IF(_xlfn.RANK.EQ(I169,$E169:$AI169,0)&lt;=INT($AO170),"P",IF(AND(_xlfn.RANK.EQ(I169,$E169:$AI169,0)=INT($AO170)+1,MOD($AO170,1)=0.5),"H","A"))))</f>
        <v>A</v>
      </c>
      <c r="J170" s="9" t="str">
        <f t="shared" ref="J170" si="824">IF(OR(J$5="",J$5=0),"",IF(J$6=$D170,"W",IF(_xlfn.RANK.EQ(J169,$E169:$AI169,0)&lt;=INT($AO170),"P",IF(AND(_xlfn.RANK.EQ(J169,$E169:$AI169,0)=INT($AO170)+1,MOD($AO170,1)=0.5),"H","A"))))</f>
        <v>W</v>
      </c>
      <c r="K170" s="9" t="str">
        <f t="shared" ref="K170" ca="1" si="825">IF(OR(K$5="",K$5=0),"",IF(K$6=$D170,"W",IF(_xlfn.RANK.EQ(K169,$E169:$AI169,0)&lt;=INT($AO170),"P",IF(AND(_xlfn.RANK.EQ(K169,$E169:$AI169,0)=INT($AO170)+1,MOD($AO170,1)=0.5),"H","A"))))</f>
        <v>P</v>
      </c>
      <c r="L170" s="9" t="str">
        <f t="shared" ref="L170" ca="1" si="826">IF(OR(L$5="",L$5=0),"",IF(L$6=$D170,"W",IF(_xlfn.RANK.EQ(L169,$E169:$AI169,0)&lt;=INT($AO170),"P",IF(AND(_xlfn.RANK.EQ(L169,$E169:$AI169,0)=INT($AO170)+1,MOD($AO170,1)=0.5),"H","A"))))</f>
        <v>P</v>
      </c>
      <c r="M170" s="9" t="str">
        <f t="shared" ref="M170" ca="1" si="827">IF(OR(M$5="",M$5=0),"",IF(M$6=$D170,"W",IF(_xlfn.RANK.EQ(M169,$E169:$AI169,0)&lt;=INT($AO170),"P",IF(AND(_xlfn.RANK.EQ(M169,$E169:$AI169,0)=INT($AO170)+1,MOD($AO170,1)=0.5),"H","A"))))</f>
        <v>P</v>
      </c>
      <c r="N170" s="9" t="str">
        <f t="shared" ref="N170" ca="1" si="828">IF(OR(N$5="",N$5=0),"",IF(N$6=$D170,"W",IF(_xlfn.RANK.EQ(N169,$E169:$AI169,0)&lt;=INT($AO170),"P",IF(AND(_xlfn.RANK.EQ(N169,$E169:$AI169,0)=INT($AO170)+1,MOD($AO170,1)=0.5),"H","A"))))</f>
        <v>P</v>
      </c>
      <c r="O170" s="9" t="str">
        <f t="shared" ref="O170" ca="1" si="829">IF(OR(O$5="",O$5=0),"",IF(O$6=$D170,"W",IF(_xlfn.RANK.EQ(O169,$E169:$AI169,0)&lt;=INT($AO170),"P",IF(AND(_xlfn.RANK.EQ(O169,$E169:$AI169,0)=INT($AO170)+1,MOD($AO170,1)=0.5),"H","A"))))</f>
        <v>A</v>
      </c>
      <c r="P170" s="9" t="str">
        <f t="shared" ref="P170" ca="1" si="830">IF(OR(P$5="",P$5=0),"",IF(P$6=$D170,"W",IF(_xlfn.RANK.EQ(P169,$E169:$AI169,0)&lt;=INT($AO170),"P",IF(AND(_xlfn.RANK.EQ(P169,$E169:$AI169,0)=INT($AO170)+1,MOD($AO170,1)=0.5),"H","A"))))</f>
        <v>P</v>
      </c>
      <c r="Q170" s="9" t="str">
        <f t="shared" ref="Q170" si="831">IF(OR(Q$5="",Q$5=0),"",IF(Q$6=$D170,"W",IF(_xlfn.RANK.EQ(Q169,$E169:$AI169,0)&lt;=INT($AO170),"P",IF(AND(_xlfn.RANK.EQ(Q169,$E169:$AI169,0)=INT($AO170)+1,MOD($AO170,1)=0.5),"H","A"))))</f>
        <v>W</v>
      </c>
      <c r="R170" s="9" t="str">
        <f t="shared" ref="R170" ca="1" si="832">IF(OR(R$5="",R$5=0),"",IF(R$6=$D170,"W",IF(_xlfn.RANK.EQ(R169,$E169:$AI169,0)&lt;=INT($AO170),"P",IF(AND(_xlfn.RANK.EQ(R169,$E169:$AI169,0)=INT($AO170)+1,MOD($AO170,1)=0.5),"H","A"))))</f>
        <v>P</v>
      </c>
      <c r="S170" s="9" t="str">
        <f t="shared" ref="S170" ca="1" si="833">IF(OR(S$5="",S$5=0),"",IF(S$6=$D170,"W",IF(_xlfn.RANK.EQ(S169,$E169:$AI169,0)&lt;=INT($AO170),"P",IF(AND(_xlfn.RANK.EQ(S169,$E169:$AI169,0)=INT($AO170)+1,MOD($AO170,1)=0.5),"H","A"))))</f>
        <v>P</v>
      </c>
      <c r="T170" s="9" t="str">
        <f t="shared" ref="T170" ca="1" si="834">IF(OR(T$5="",T$5=0),"",IF(T$6=$D170,"W",IF(_xlfn.RANK.EQ(T169,$E169:$AI169,0)&lt;=INT($AO170),"P",IF(AND(_xlfn.RANK.EQ(T169,$E169:$AI169,0)=INT($AO170)+1,MOD($AO170,1)=0.5),"H","A"))))</f>
        <v>P</v>
      </c>
      <c r="U170" s="9" t="str">
        <f t="shared" ref="U170" ca="1" si="835">IF(OR(U$5="",U$5=0),"",IF(U$6=$D170,"W",IF(_xlfn.RANK.EQ(U169,$E169:$AI169,0)&lt;=INT($AO170),"P",IF(AND(_xlfn.RANK.EQ(U169,$E169:$AI169,0)=INT($AO170)+1,MOD($AO170,1)=0.5),"H","A"))))</f>
        <v>P</v>
      </c>
      <c r="V170" s="9" t="str">
        <f t="shared" ref="V170" ca="1" si="836">IF(OR(V$5="",V$5=0),"",IF(V$6=$D170,"W",IF(_xlfn.RANK.EQ(V169,$E169:$AI169,0)&lt;=INT($AO170),"P",IF(AND(_xlfn.RANK.EQ(V169,$E169:$AI169,0)=INT($AO170)+1,MOD($AO170,1)=0.5),"H","A"))))</f>
        <v>P</v>
      </c>
      <c r="W170" s="9" t="str">
        <f t="shared" ref="W170" ca="1" si="837">IF(OR(W$5="",W$5=0),"",IF(W$6=$D170,"W",IF(_xlfn.RANK.EQ(W169,$E169:$AI169,0)&lt;=INT($AO170),"P",IF(AND(_xlfn.RANK.EQ(W169,$E169:$AI169,0)=INT($AO170)+1,MOD($AO170,1)=0.5),"H","A"))))</f>
        <v>P</v>
      </c>
      <c r="X170" s="9" t="str">
        <f t="shared" ref="X170" si="838">IF(OR(X$5="",X$5=0),"",IF(X$6=$D170,"W",IF(_xlfn.RANK.EQ(X169,$E169:$AI169,0)&lt;=INT($AO170),"P",IF(AND(_xlfn.RANK.EQ(X169,$E169:$AI169,0)=INT($AO170)+1,MOD($AO170,1)=0.5),"H","A"))))</f>
        <v>W</v>
      </c>
      <c r="Y170" s="9" t="str">
        <f t="shared" ref="Y170" ca="1" si="839">IF(OR(Y$5="",Y$5=0),"",IF(Y$6=$D170,"W",IF(_xlfn.RANK.EQ(Y169,$E169:$AI169,0)&lt;=INT($AO170),"P",IF(AND(_xlfn.RANK.EQ(Y169,$E169:$AI169,0)=INT($AO170)+1,MOD($AO170,1)=0.5),"H","A"))))</f>
        <v>P</v>
      </c>
      <c r="Z170" s="9" t="str">
        <f t="shared" ref="Z170" ca="1" si="840">IF(OR(Z$5="",Z$5=0),"",IF(Z$6=$D170,"W",IF(_xlfn.RANK.EQ(Z169,$E169:$AI169,0)&lt;=INT($AO170),"P",IF(AND(_xlfn.RANK.EQ(Z169,$E169:$AI169,0)=INT($AO170)+1,MOD($AO170,1)=0.5),"H","A"))))</f>
        <v>P</v>
      </c>
      <c r="AA170" s="9" t="str">
        <f t="shared" ref="AA170" ca="1" si="841">IF(OR(AA$5="",AA$5=0),"",IF(AA$6=$D170,"W",IF(_xlfn.RANK.EQ(AA169,$E169:$AI169,0)&lt;=INT($AO170),"P",IF(AND(_xlfn.RANK.EQ(AA169,$E169:$AI169,0)=INT($AO170)+1,MOD($AO170,1)=0.5),"H","A"))))</f>
        <v>P</v>
      </c>
      <c r="AB170" s="9" t="str">
        <f t="shared" ref="AB170" ca="1" si="842">IF(OR(AB$5="",AB$5=0),"",IF(AB$6=$D170,"W",IF(_xlfn.RANK.EQ(AB169,$E169:$AI169,0)&lt;=INT($AO170),"P",IF(AND(_xlfn.RANK.EQ(AB169,$E169:$AI169,0)=INT($AO170)+1,MOD($AO170,1)=0.5),"H","A"))))</f>
        <v>P</v>
      </c>
      <c r="AC170" s="9" t="str">
        <f t="shared" ref="AC170" ca="1" si="843">IF(OR(AC$5="",AC$5=0),"",IF(AC$6=$D170,"W",IF(_xlfn.RANK.EQ(AC169,$E169:$AI169,0)&lt;=INT($AO170),"P",IF(AND(_xlfn.RANK.EQ(AC169,$E169:$AI169,0)=INT($AO170)+1,MOD($AO170,1)=0.5),"H","A"))))</f>
        <v>P</v>
      </c>
      <c r="AD170" s="9" t="str">
        <f t="shared" ref="AD170" ca="1" si="844">IF(OR(AD$5="",AD$5=0),"",IF(AD$6=$D170,"W",IF(_xlfn.RANK.EQ(AD169,$E169:$AI169,0)&lt;=INT($AO170),"P",IF(AND(_xlfn.RANK.EQ(AD169,$E169:$AI169,0)=INT($AO170)+1,MOD($AO170,1)=0.5),"H","A"))))</f>
        <v>P</v>
      </c>
      <c r="AE170" s="9" t="str">
        <f t="shared" ref="AE170" si="845">IF(OR(AE$5="",AE$5=0),"",IF(AE$6=$D170,"W",IF(_xlfn.RANK.EQ(AE169,$E169:$AI169,0)&lt;=INT($AO170),"P",IF(AND(_xlfn.RANK.EQ(AE169,$E169:$AI169,0)=INT($AO170)+1,MOD($AO170,1)=0.5),"H","A"))))</f>
        <v>W</v>
      </c>
      <c r="AF170" s="9" t="str">
        <f t="shared" ref="AF170" ca="1" si="846">IF(OR(AF$5="",AF$5=0),"",IF(AF$6=$D170,"W",IF(_xlfn.RANK.EQ(AF169,$E169:$AI169,0)&lt;=INT($AO170),"P",IF(AND(_xlfn.RANK.EQ(AF169,$E169:$AI169,0)=INT($AO170)+1,MOD($AO170,1)=0.5),"H","A"))))</f>
        <v>P</v>
      </c>
      <c r="AG170" s="9" t="str">
        <f t="shared" ref="AG170" ca="1" si="847">IF(OR(AG$5="",AG$5=0),"",IF(AG$6=$D170,"W",IF(_xlfn.RANK.EQ(AG169,$E169:$AI169,0)&lt;=INT($AO170),"P",IF(AND(_xlfn.RANK.EQ(AG169,$E169:$AI169,0)=INT($AO170)+1,MOD($AO170,1)=0.5),"H","A"))))</f>
        <v>P</v>
      </c>
      <c r="AH170" s="9" t="str">
        <f t="shared" ref="AH170" ca="1" si="848">IF(OR(AH$5="",AH$5=0),"",IF(AH$6=$D170,"W",IF(_xlfn.RANK.EQ(AH169,$E169:$AI169,0)&lt;=INT($AO170),"P",IF(AND(_xlfn.RANK.EQ(AH169,$E169:$AI169,0)=INT($AO170)+1,MOD($AO170,1)=0.5),"H","A"))))</f>
        <v>P</v>
      </c>
      <c r="AI170" s="9" t="str">
        <f t="shared" ref="AI170" ca="1" si="849">IF(OR(AI$5="",AI$5=0),"",IF(AI$6=$D170,"W",IF(_xlfn.RANK.EQ(AI169,$E169:$AI169,0)&lt;=INT($AO170),"P",IF(AND(_xlfn.RANK.EQ(AI169,$E169:$AI169,0)=INT($AO170)+1,MOD($AO170,1)=0.5),"H","A"))))</f>
        <v>P</v>
      </c>
      <c r="AJ170" s="16">
        <f t="shared" ref="AJ170" ca="1" si="850">COUNTIF(E170:AI170, "P")</f>
        <v>25</v>
      </c>
      <c r="AK170" s="17">
        <f t="shared" ref="AK170" ca="1" si="851">COUNTIF(E170:AH170, "A")</f>
        <v>2</v>
      </c>
      <c r="AL170" s="17">
        <f t="shared" ref="AL170" ca="1" si="852">COUNTIF(E170:AH170, "W")</f>
        <v>4</v>
      </c>
      <c r="AM170" s="17">
        <f t="shared" ref="AM170" ca="1" si="853">COUNTIF(E170:AH170, "H")</f>
        <v>0</v>
      </c>
      <c r="AN170" s="17">
        <f t="shared" ref="AN170" ca="1" si="854">COUNTIF(E170:AH170, "PL")</f>
        <v>0</v>
      </c>
      <c r="AO170" s="18">
        <v>25</v>
      </c>
    </row>
    <row r="171" spans="1:41" ht="15" x14ac:dyDescent="0.3">
      <c r="A171" s="19"/>
      <c r="B171" s="1" t="s">
        <v>22</v>
      </c>
      <c r="C171" s="48" t="s">
        <v>22</v>
      </c>
      <c r="D171" s="45" t="s">
        <v>1</v>
      </c>
      <c r="E171" s="20" t="str">
        <f t="shared" ref="E171:AH171" ca="1" si="855">IF(E170="P", IF($D169="G", TEXT(RAND()*(9.27-9.62)/24+9.62/24,"HH:MM"), IF($D169="A", TEXT(RAND()*(8.06-8.1)/24+8.15/24,"HH:MM"), IF($D169="B", TEXT(RAND()*(16.06-16.1)/24+16.15/24,"HH:MM"), IF($D169="C", TEXT(RAND()*(24.85-24.13)/24+24.13/24,"HH:MM"), " ")))), "")</f>
        <v>08:08</v>
      </c>
      <c r="F171" s="20" t="str">
        <f t="shared" ca="1" si="855"/>
        <v>08:08</v>
      </c>
      <c r="G171" s="20" t="str">
        <f t="shared" ca="1" si="855"/>
        <v>08:08</v>
      </c>
      <c r="H171" s="20" t="str">
        <f t="shared" ca="1" si="855"/>
        <v>08:08</v>
      </c>
      <c r="I171" s="20" t="str">
        <f t="shared" ca="1" si="855"/>
        <v/>
      </c>
      <c r="J171" s="20" t="str">
        <f t="shared" ca="1" si="855"/>
        <v/>
      </c>
      <c r="K171" s="20" t="str">
        <f t="shared" ca="1" si="855"/>
        <v>08:06</v>
      </c>
      <c r="L171" s="20" t="str">
        <f t="shared" ca="1" si="855"/>
        <v>08:06</v>
      </c>
      <c r="M171" s="20" t="str">
        <f t="shared" ca="1" si="855"/>
        <v>08:08</v>
      </c>
      <c r="N171" s="20" t="str">
        <f t="shared" ca="1" si="855"/>
        <v>08:07</v>
      </c>
      <c r="O171" s="20" t="str">
        <f t="shared" ca="1" si="855"/>
        <v/>
      </c>
      <c r="P171" s="20" t="str">
        <f t="shared" ca="1" si="855"/>
        <v>08:08</v>
      </c>
      <c r="Q171" s="20" t="str">
        <f t="shared" ca="1" si="855"/>
        <v/>
      </c>
      <c r="R171" s="20" t="str">
        <f t="shared" ca="1" si="855"/>
        <v>08:08</v>
      </c>
      <c r="S171" s="20" t="str">
        <f t="shared" ca="1" si="855"/>
        <v>08:08</v>
      </c>
      <c r="T171" s="20" t="str">
        <f t="shared" ca="1" si="855"/>
        <v>08:08</v>
      </c>
      <c r="U171" s="20" t="str">
        <f t="shared" ca="1" si="855"/>
        <v>08:06</v>
      </c>
      <c r="V171" s="20" t="str">
        <f t="shared" ca="1" si="855"/>
        <v>08:06</v>
      </c>
      <c r="W171" s="20" t="str">
        <f t="shared" ca="1" si="855"/>
        <v>08:07</v>
      </c>
      <c r="X171" s="20" t="str">
        <f t="shared" ca="1" si="855"/>
        <v/>
      </c>
      <c r="Y171" s="20" t="str">
        <f t="shared" ca="1" si="855"/>
        <v>08:08</v>
      </c>
      <c r="Z171" s="20" t="str">
        <f t="shared" ca="1" si="855"/>
        <v>08:07</v>
      </c>
      <c r="AA171" s="20" t="str">
        <f t="shared" ca="1" si="855"/>
        <v>08:07</v>
      </c>
      <c r="AB171" s="20" t="str">
        <f t="shared" ca="1" si="855"/>
        <v>08:08</v>
      </c>
      <c r="AC171" s="20" t="str">
        <f t="shared" ca="1" si="855"/>
        <v>08:07</v>
      </c>
      <c r="AD171" s="20" t="str">
        <f t="shared" ca="1" si="855"/>
        <v>08:06</v>
      </c>
      <c r="AE171" s="20" t="str">
        <f t="shared" ca="1" si="855"/>
        <v/>
      </c>
      <c r="AF171" s="20" t="str">
        <f t="shared" ca="1" si="855"/>
        <v>08:07</v>
      </c>
      <c r="AG171" s="20" t="str">
        <f t="shared" ca="1" si="855"/>
        <v>08:06</v>
      </c>
      <c r="AH171" s="20" t="str">
        <f t="shared" ca="1" si="855"/>
        <v>08:06</v>
      </c>
      <c r="AI171" s="20" t="str">
        <f t="shared" ca="1" si="808"/>
        <v>08:08</v>
      </c>
      <c r="AJ171" s="21"/>
      <c r="AK171" s="22"/>
      <c r="AL171" s="22"/>
      <c r="AM171" s="22"/>
      <c r="AN171" s="22"/>
      <c r="AO171" s="23" t="s">
        <v>22</v>
      </c>
    </row>
    <row r="172" spans="1:41" ht="15" x14ac:dyDescent="0.3">
      <c r="A172" s="19"/>
      <c r="B172" s="1" t="s">
        <v>22</v>
      </c>
      <c r="C172" s="48" t="s">
        <v>22</v>
      </c>
      <c r="D172" s="45" t="s">
        <v>2</v>
      </c>
      <c r="E172" s="20" t="str">
        <f t="shared" ref="E172:AH172" ca="1" si="856">IF(E170="P", IF($D169="G", TEXT(RAND()*(18.85-18.13)/24+18.13/24,"HH:MM"), IF($D169="A", TEXT(RAND()*(16.85-16.13)/24+16.13/24,"HH:MM"), IF($D169="B", TEXT(RAND()*(24.85-24.13)/24+24.13/24,"HH:MM"), IF($D169="C", TEXT(RAND()*(8.85-8.13)/24+8.13/24,"HH:MM"), " ")))), "")</f>
        <v>16:12</v>
      </c>
      <c r="F172" s="20" t="str">
        <f t="shared" ca="1" si="856"/>
        <v>16:14</v>
      </c>
      <c r="G172" s="20" t="str">
        <f t="shared" ca="1" si="856"/>
        <v>16:20</v>
      </c>
      <c r="H172" s="20" t="str">
        <f t="shared" ca="1" si="856"/>
        <v>16:19</v>
      </c>
      <c r="I172" s="20" t="str">
        <f t="shared" ca="1" si="856"/>
        <v/>
      </c>
      <c r="J172" s="20" t="str">
        <f t="shared" ca="1" si="856"/>
        <v/>
      </c>
      <c r="K172" s="20" t="str">
        <f t="shared" ca="1" si="856"/>
        <v>16:12</v>
      </c>
      <c r="L172" s="20" t="str">
        <f t="shared" ca="1" si="856"/>
        <v>16:20</v>
      </c>
      <c r="M172" s="20" t="str">
        <f t="shared" ca="1" si="856"/>
        <v>16:34</v>
      </c>
      <c r="N172" s="20" t="str">
        <f t="shared" ca="1" si="856"/>
        <v>16:47</v>
      </c>
      <c r="O172" s="20" t="str">
        <f t="shared" ca="1" si="856"/>
        <v/>
      </c>
      <c r="P172" s="20" t="str">
        <f t="shared" ca="1" si="856"/>
        <v>16:24</v>
      </c>
      <c r="Q172" s="20" t="str">
        <f t="shared" ca="1" si="856"/>
        <v/>
      </c>
      <c r="R172" s="20" t="str">
        <f t="shared" ca="1" si="856"/>
        <v>16:45</v>
      </c>
      <c r="S172" s="20" t="str">
        <f t="shared" ca="1" si="856"/>
        <v>16:29</v>
      </c>
      <c r="T172" s="20" t="str">
        <f t="shared" ca="1" si="856"/>
        <v>16:11</v>
      </c>
      <c r="U172" s="20" t="str">
        <f t="shared" ca="1" si="856"/>
        <v>16:47</v>
      </c>
      <c r="V172" s="20" t="str">
        <f t="shared" ca="1" si="856"/>
        <v>16:37</v>
      </c>
      <c r="W172" s="20" t="str">
        <f t="shared" ca="1" si="856"/>
        <v>16:28</v>
      </c>
      <c r="X172" s="20" t="str">
        <f t="shared" ca="1" si="856"/>
        <v/>
      </c>
      <c r="Y172" s="20" t="str">
        <f t="shared" ca="1" si="856"/>
        <v>16:12</v>
      </c>
      <c r="Z172" s="20" t="str">
        <f t="shared" ca="1" si="856"/>
        <v>16:28</v>
      </c>
      <c r="AA172" s="20" t="str">
        <f t="shared" ca="1" si="856"/>
        <v>16:20</v>
      </c>
      <c r="AB172" s="20" t="str">
        <f t="shared" ca="1" si="856"/>
        <v>16:32</v>
      </c>
      <c r="AC172" s="20" t="str">
        <f t="shared" ca="1" si="856"/>
        <v>16:10</v>
      </c>
      <c r="AD172" s="20" t="str">
        <f t="shared" ca="1" si="856"/>
        <v>16:45</v>
      </c>
      <c r="AE172" s="20" t="str">
        <f t="shared" ca="1" si="856"/>
        <v/>
      </c>
      <c r="AF172" s="20" t="str">
        <f t="shared" ca="1" si="856"/>
        <v>16:41</v>
      </c>
      <c r="AG172" s="20" t="str">
        <f t="shared" ca="1" si="856"/>
        <v>16:50</v>
      </c>
      <c r="AH172" s="20" t="str">
        <f t="shared" ca="1" si="856"/>
        <v>16:24</v>
      </c>
      <c r="AI172" s="20" t="str">
        <f t="shared" ca="1" si="809"/>
        <v>16:31</v>
      </c>
      <c r="AJ172" s="24" t="s">
        <v>13</v>
      </c>
      <c r="AK172" s="25"/>
      <c r="AL172" s="25"/>
      <c r="AM172" s="25"/>
      <c r="AN172" s="25"/>
      <c r="AO172" s="23" t="s">
        <v>22</v>
      </c>
    </row>
    <row r="173" spans="1:41" ht="15" x14ac:dyDescent="0.3">
      <c r="A173" s="26"/>
      <c r="B173" s="1" t="s">
        <v>22</v>
      </c>
      <c r="C173" s="48" t="s">
        <v>22</v>
      </c>
      <c r="D173" s="45" t="s">
        <v>14</v>
      </c>
      <c r="E173" s="27">
        <f t="shared" ref="E173:AH173" ca="1" si="857">IF(E170="P", MOD(E172-E171, 1), " ")</f>
        <v>0.33611111111111114</v>
      </c>
      <c r="F173" s="27">
        <f t="shared" ca="1" si="857"/>
        <v>0.33750000000000002</v>
      </c>
      <c r="G173" s="27">
        <f t="shared" ca="1" si="857"/>
        <v>0.34166666666666667</v>
      </c>
      <c r="H173" s="27">
        <f t="shared" ca="1" si="857"/>
        <v>0.34097222222222223</v>
      </c>
      <c r="I173" s="27" t="str">
        <f t="shared" ca="1" si="857"/>
        <v xml:space="preserve"> </v>
      </c>
      <c r="J173" s="27" t="str">
        <f t="shared" si="857"/>
        <v xml:space="preserve"> </v>
      </c>
      <c r="K173" s="27">
        <f t="shared" ca="1" si="857"/>
        <v>0.33750000000000002</v>
      </c>
      <c r="L173" s="27">
        <f t="shared" ca="1" si="857"/>
        <v>0.34305555555555556</v>
      </c>
      <c r="M173" s="27">
        <f t="shared" ca="1" si="857"/>
        <v>0.35138888888888886</v>
      </c>
      <c r="N173" s="27">
        <f t="shared" ca="1" si="857"/>
        <v>0.36111111111111105</v>
      </c>
      <c r="O173" s="27" t="str">
        <f t="shared" ca="1" si="857"/>
        <v xml:space="preserve"> </v>
      </c>
      <c r="P173" s="27">
        <f t="shared" ca="1" si="857"/>
        <v>0.34444444444444444</v>
      </c>
      <c r="Q173" s="27" t="str">
        <f t="shared" si="857"/>
        <v xml:space="preserve"> </v>
      </c>
      <c r="R173" s="27">
        <f t="shared" ca="1" si="857"/>
        <v>0.35902777777777772</v>
      </c>
      <c r="S173" s="27">
        <f t="shared" ca="1" si="857"/>
        <v>0.34791666666666665</v>
      </c>
      <c r="T173" s="27">
        <f t="shared" ca="1" si="857"/>
        <v>0.3354166666666667</v>
      </c>
      <c r="U173" s="27">
        <f t="shared" ca="1" si="857"/>
        <v>0.36180555555555549</v>
      </c>
      <c r="V173" s="27">
        <f t="shared" ca="1" si="857"/>
        <v>0.35486111111111107</v>
      </c>
      <c r="W173" s="27">
        <f t="shared" ca="1" si="857"/>
        <v>0.34791666666666665</v>
      </c>
      <c r="X173" s="27" t="str">
        <f t="shared" si="857"/>
        <v xml:space="preserve"> </v>
      </c>
      <c r="Y173" s="27">
        <f t="shared" ca="1" si="857"/>
        <v>0.33611111111111114</v>
      </c>
      <c r="Z173" s="27">
        <f t="shared" ca="1" si="857"/>
        <v>0.34791666666666665</v>
      </c>
      <c r="AA173" s="27">
        <f t="shared" ca="1" si="857"/>
        <v>0.34236111111111112</v>
      </c>
      <c r="AB173" s="27">
        <f t="shared" ca="1" si="857"/>
        <v>0.35</v>
      </c>
      <c r="AC173" s="27">
        <f t="shared" ca="1" si="857"/>
        <v>0.3354166666666667</v>
      </c>
      <c r="AD173" s="27">
        <f t="shared" ca="1" si="857"/>
        <v>0.36041666666666661</v>
      </c>
      <c r="AE173" s="27" t="str">
        <f t="shared" si="857"/>
        <v xml:space="preserve"> </v>
      </c>
      <c r="AF173" s="27">
        <f t="shared" ca="1" si="857"/>
        <v>0.3569444444444444</v>
      </c>
      <c r="AG173" s="27">
        <f t="shared" ca="1" si="857"/>
        <v>0.36388888888888882</v>
      </c>
      <c r="AH173" s="27">
        <f t="shared" ca="1" si="857"/>
        <v>0.34583333333333333</v>
      </c>
      <c r="AI173" s="27">
        <f t="shared" ca="1" si="810"/>
        <v>0.34930555555555554</v>
      </c>
      <c r="AJ173" s="28">
        <f t="shared" ref="AJ173" ca="1" si="858">AJ170*8</f>
        <v>200</v>
      </c>
      <c r="AK173" s="29"/>
      <c r="AL173" s="29"/>
      <c r="AM173" s="29"/>
      <c r="AN173" s="29"/>
      <c r="AO173" s="23" t="s">
        <v>22</v>
      </c>
    </row>
    <row r="174" spans="1:41" ht="15" x14ac:dyDescent="0.3">
      <c r="A174" s="26"/>
      <c r="B174" s="1" t="s">
        <v>22</v>
      </c>
      <c r="C174" s="48" t="s">
        <v>22</v>
      </c>
      <c r="D174" s="45" t="s">
        <v>19</v>
      </c>
      <c r="E174" s="27" t="str">
        <f t="shared" ref="E174:AH174" ca="1" si="859">IF(E170="P","08:00"," ")</f>
        <v>08:00</v>
      </c>
      <c r="F174" s="27" t="str">
        <f t="shared" ca="1" si="859"/>
        <v>08:00</v>
      </c>
      <c r="G174" s="27" t="str">
        <f t="shared" ca="1" si="859"/>
        <v>08:00</v>
      </c>
      <c r="H174" s="27" t="str">
        <f t="shared" ca="1" si="859"/>
        <v>08:00</v>
      </c>
      <c r="I174" s="27" t="str">
        <f t="shared" ca="1" si="859"/>
        <v xml:space="preserve"> </v>
      </c>
      <c r="J174" s="27" t="str">
        <f t="shared" si="859"/>
        <v xml:space="preserve"> </v>
      </c>
      <c r="K174" s="27" t="str">
        <f t="shared" ca="1" si="859"/>
        <v>08:00</v>
      </c>
      <c r="L174" s="27" t="str">
        <f t="shared" ca="1" si="859"/>
        <v>08:00</v>
      </c>
      <c r="M174" s="27" t="str">
        <f t="shared" ca="1" si="859"/>
        <v>08:00</v>
      </c>
      <c r="N174" s="27" t="str">
        <f t="shared" ca="1" si="859"/>
        <v>08:00</v>
      </c>
      <c r="O174" s="27" t="str">
        <f t="shared" ca="1" si="859"/>
        <v xml:space="preserve"> </v>
      </c>
      <c r="P174" s="27" t="str">
        <f t="shared" ca="1" si="859"/>
        <v>08:00</v>
      </c>
      <c r="Q174" s="27" t="str">
        <f t="shared" si="859"/>
        <v xml:space="preserve"> </v>
      </c>
      <c r="R174" s="27" t="str">
        <f t="shared" ca="1" si="859"/>
        <v>08:00</v>
      </c>
      <c r="S174" s="27" t="str">
        <f t="shared" ca="1" si="859"/>
        <v>08:00</v>
      </c>
      <c r="T174" s="27" t="str">
        <f t="shared" ca="1" si="859"/>
        <v>08:00</v>
      </c>
      <c r="U174" s="27" t="str">
        <f t="shared" ca="1" si="859"/>
        <v>08:00</v>
      </c>
      <c r="V174" s="27" t="str">
        <f t="shared" ca="1" si="859"/>
        <v>08:00</v>
      </c>
      <c r="W174" s="27" t="str">
        <f t="shared" ca="1" si="859"/>
        <v>08:00</v>
      </c>
      <c r="X174" s="27" t="str">
        <f t="shared" si="859"/>
        <v xml:space="preserve"> </v>
      </c>
      <c r="Y174" s="27" t="str">
        <f t="shared" ca="1" si="859"/>
        <v>08:00</v>
      </c>
      <c r="Z174" s="27" t="str">
        <f t="shared" ca="1" si="859"/>
        <v>08:00</v>
      </c>
      <c r="AA174" s="27" t="str">
        <f t="shared" ca="1" si="859"/>
        <v>08:00</v>
      </c>
      <c r="AB174" s="27" t="str">
        <f t="shared" ca="1" si="859"/>
        <v>08:00</v>
      </c>
      <c r="AC174" s="27" t="str">
        <f t="shared" ca="1" si="859"/>
        <v>08:00</v>
      </c>
      <c r="AD174" s="27" t="str">
        <f t="shared" ca="1" si="859"/>
        <v>08:00</v>
      </c>
      <c r="AE174" s="27" t="str">
        <f t="shared" si="859"/>
        <v xml:space="preserve"> </v>
      </c>
      <c r="AF174" s="27" t="str">
        <f t="shared" ca="1" si="859"/>
        <v>08:00</v>
      </c>
      <c r="AG174" s="27" t="str">
        <f t="shared" ca="1" si="859"/>
        <v>08:00</v>
      </c>
      <c r="AH174" s="27" t="str">
        <f t="shared" ca="1" si="859"/>
        <v>08:00</v>
      </c>
      <c r="AI174" s="27" t="str">
        <f t="shared" ca="1" si="812"/>
        <v>08:00</v>
      </c>
      <c r="AJ174" s="28"/>
      <c r="AK174" s="29"/>
      <c r="AL174" s="29"/>
      <c r="AM174" s="29"/>
      <c r="AN174" s="29"/>
      <c r="AO174" s="23" t="s">
        <v>22</v>
      </c>
    </row>
    <row r="175" spans="1:41" ht="15" x14ac:dyDescent="0.3">
      <c r="A175" s="26"/>
      <c r="B175" s="1" t="s">
        <v>22</v>
      </c>
      <c r="C175" s="48" t="s">
        <v>22</v>
      </c>
      <c r="D175" s="45" t="s">
        <v>12</v>
      </c>
      <c r="E175" s="27" t="str">
        <f t="shared" ref="E175:AH175" ca="1" si="860">IF(E170="P","01:00"," ")</f>
        <v>01:00</v>
      </c>
      <c r="F175" s="27" t="str">
        <f t="shared" ca="1" si="860"/>
        <v>01:00</v>
      </c>
      <c r="G175" s="27" t="str">
        <f t="shared" ca="1" si="860"/>
        <v>01:00</v>
      </c>
      <c r="H175" s="27" t="str">
        <f t="shared" ca="1" si="860"/>
        <v>01:00</v>
      </c>
      <c r="I175" s="27" t="str">
        <f t="shared" ca="1" si="860"/>
        <v xml:space="preserve"> </v>
      </c>
      <c r="J175" s="27" t="str">
        <f t="shared" si="860"/>
        <v xml:space="preserve"> </v>
      </c>
      <c r="K175" s="27" t="str">
        <f t="shared" ca="1" si="860"/>
        <v>01:00</v>
      </c>
      <c r="L175" s="27" t="str">
        <f t="shared" ca="1" si="860"/>
        <v>01:00</v>
      </c>
      <c r="M175" s="27" t="str">
        <f t="shared" ca="1" si="860"/>
        <v>01:00</v>
      </c>
      <c r="N175" s="27" t="str">
        <f t="shared" ca="1" si="860"/>
        <v>01:00</v>
      </c>
      <c r="O175" s="27" t="str">
        <f t="shared" ca="1" si="860"/>
        <v xml:space="preserve"> </v>
      </c>
      <c r="P175" s="27" t="str">
        <f t="shared" ca="1" si="860"/>
        <v>01:00</v>
      </c>
      <c r="Q175" s="27" t="str">
        <f t="shared" si="860"/>
        <v xml:space="preserve"> </v>
      </c>
      <c r="R175" s="27" t="str">
        <f t="shared" ca="1" si="860"/>
        <v>01:00</v>
      </c>
      <c r="S175" s="27" t="str">
        <f t="shared" ca="1" si="860"/>
        <v>01:00</v>
      </c>
      <c r="T175" s="27" t="str">
        <f t="shared" ca="1" si="860"/>
        <v>01:00</v>
      </c>
      <c r="U175" s="27" t="str">
        <f t="shared" ca="1" si="860"/>
        <v>01:00</v>
      </c>
      <c r="V175" s="27" t="str">
        <f t="shared" ca="1" si="860"/>
        <v>01:00</v>
      </c>
      <c r="W175" s="27" t="str">
        <f t="shared" ca="1" si="860"/>
        <v>01:00</v>
      </c>
      <c r="X175" s="27" t="str">
        <f t="shared" si="860"/>
        <v xml:space="preserve"> </v>
      </c>
      <c r="Y175" s="27" t="str">
        <f t="shared" ca="1" si="860"/>
        <v>01:00</v>
      </c>
      <c r="Z175" s="27" t="str">
        <f t="shared" ca="1" si="860"/>
        <v>01:00</v>
      </c>
      <c r="AA175" s="27" t="str">
        <f t="shared" ca="1" si="860"/>
        <v>01:00</v>
      </c>
      <c r="AB175" s="27" t="str">
        <f t="shared" ca="1" si="860"/>
        <v>01:00</v>
      </c>
      <c r="AC175" s="27" t="str">
        <f t="shared" ca="1" si="860"/>
        <v>01:00</v>
      </c>
      <c r="AD175" s="27" t="str">
        <f t="shared" ca="1" si="860"/>
        <v>01:00</v>
      </c>
      <c r="AE175" s="27" t="str">
        <f t="shared" si="860"/>
        <v xml:space="preserve"> </v>
      </c>
      <c r="AF175" s="27" t="str">
        <f t="shared" ca="1" si="860"/>
        <v>01:00</v>
      </c>
      <c r="AG175" s="27" t="str">
        <f t="shared" ca="1" si="860"/>
        <v>01:00</v>
      </c>
      <c r="AH175" s="27" t="str">
        <f t="shared" ca="1" si="860"/>
        <v>01:00</v>
      </c>
      <c r="AI175" s="27" t="str">
        <f t="shared" ca="1" si="813"/>
        <v>01:00</v>
      </c>
      <c r="AJ175" s="24" t="s">
        <v>11</v>
      </c>
      <c r="AK175" s="25"/>
      <c r="AL175" s="25"/>
      <c r="AM175" s="25"/>
      <c r="AN175" s="25"/>
      <c r="AO175" s="23" t="s">
        <v>22</v>
      </c>
    </row>
    <row r="176" spans="1:41" ht="15" x14ac:dyDescent="0.3">
      <c r="A176" s="26"/>
      <c r="B176" s="1" t="s">
        <v>22</v>
      </c>
      <c r="C176" s="48" t="s">
        <v>22</v>
      </c>
      <c r="D176" s="45" t="s">
        <v>11</v>
      </c>
      <c r="E176" s="27">
        <f t="shared" ref="E176:AH176" ca="1" si="861">IF(E170="P",E173-E175," ")</f>
        <v>0.29444444444444445</v>
      </c>
      <c r="F176" s="27">
        <f t="shared" ca="1" si="861"/>
        <v>0.29583333333333334</v>
      </c>
      <c r="G176" s="27">
        <f t="shared" ca="1" si="861"/>
        <v>0.3</v>
      </c>
      <c r="H176" s="27">
        <f t="shared" ca="1" si="861"/>
        <v>0.29930555555555555</v>
      </c>
      <c r="I176" s="27" t="str">
        <f t="shared" ca="1" si="861"/>
        <v xml:space="preserve"> </v>
      </c>
      <c r="J176" s="27" t="str">
        <f t="shared" si="861"/>
        <v xml:space="preserve"> </v>
      </c>
      <c r="K176" s="27">
        <f t="shared" ca="1" si="861"/>
        <v>0.29583333333333334</v>
      </c>
      <c r="L176" s="27">
        <f t="shared" ca="1" si="861"/>
        <v>0.30138888888888887</v>
      </c>
      <c r="M176" s="27">
        <f t="shared" ca="1" si="861"/>
        <v>0.30972222222222218</v>
      </c>
      <c r="N176" s="27">
        <f t="shared" ca="1" si="861"/>
        <v>0.31944444444444436</v>
      </c>
      <c r="O176" s="27" t="str">
        <f t="shared" ca="1" si="861"/>
        <v xml:space="preserve"> </v>
      </c>
      <c r="P176" s="27">
        <f t="shared" ca="1" si="861"/>
        <v>0.30277777777777776</v>
      </c>
      <c r="Q176" s="27" t="str">
        <f t="shared" si="861"/>
        <v xml:space="preserve"> </v>
      </c>
      <c r="R176" s="27">
        <f t="shared" ca="1" si="861"/>
        <v>0.31736111111111104</v>
      </c>
      <c r="S176" s="27">
        <f t="shared" ca="1" si="861"/>
        <v>0.30624999999999997</v>
      </c>
      <c r="T176" s="27">
        <f t="shared" ca="1" si="861"/>
        <v>0.29375000000000001</v>
      </c>
      <c r="U176" s="27">
        <f t="shared" ca="1" si="861"/>
        <v>0.32013888888888881</v>
      </c>
      <c r="V176" s="27">
        <f t="shared" ca="1" si="861"/>
        <v>0.31319444444444439</v>
      </c>
      <c r="W176" s="27">
        <f t="shared" ca="1" si="861"/>
        <v>0.30624999999999997</v>
      </c>
      <c r="X176" s="27" t="str">
        <f t="shared" si="861"/>
        <v xml:space="preserve"> </v>
      </c>
      <c r="Y176" s="27">
        <f t="shared" ca="1" si="861"/>
        <v>0.29444444444444445</v>
      </c>
      <c r="Z176" s="27">
        <f t="shared" ca="1" si="861"/>
        <v>0.30624999999999997</v>
      </c>
      <c r="AA176" s="27">
        <f t="shared" ca="1" si="861"/>
        <v>0.30069444444444443</v>
      </c>
      <c r="AB176" s="27">
        <f t="shared" ca="1" si="861"/>
        <v>0.30833333333333329</v>
      </c>
      <c r="AC176" s="27">
        <f t="shared" ca="1" si="861"/>
        <v>0.29375000000000001</v>
      </c>
      <c r="AD176" s="27">
        <f t="shared" ca="1" si="861"/>
        <v>0.31874999999999992</v>
      </c>
      <c r="AE176" s="27" t="str">
        <f t="shared" si="861"/>
        <v xml:space="preserve"> </v>
      </c>
      <c r="AF176" s="27">
        <f t="shared" ca="1" si="861"/>
        <v>0.31527777777777771</v>
      </c>
      <c r="AG176" s="27">
        <f t="shared" ca="1" si="861"/>
        <v>0.32222222222222213</v>
      </c>
      <c r="AH176" s="27">
        <f t="shared" ca="1" si="861"/>
        <v>0.30416666666666664</v>
      </c>
      <c r="AI176" s="27">
        <f t="shared" ca="1" si="814"/>
        <v>0.30763888888888885</v>
      </c>
      <c r="AJ176" s="30">
        <f t="shared" ref="AJ176:AJ177" ca="1" si="862">SUM(E176:AH176)</f>
        <v>7.3395833333333327</v>
      </c>
      <c r="AK176" s="25"/>
      <c r="AL176" s="25"/>
      <c r="AM176" s="25"/>
      <c r="AN176" s="25"/>
      <c r="AO176" s="23" t="s">
        <v>22</v>
      </c>
    </row>
    <row r="177" spans="1:41" ht="15.6" thickBot="1" x14ac:dyDescent="0.35">
      <c r="A177" s="31"/>
      <c r="B177" s="32" t="s">
        <v>22</v>
      </c>
      <c r="C177" s="49" t="s">
        <v>22</v>
      </c>
      <c r="D177" s="46" t="s">
        <v>20</v>
      </c>
      <c r="E177" s="33">
        <f t="shared" ref="E177:AH177" ca="1" si="863">IF(E170="P",(IF(E174&gt;E176,0,E176-E174))," ")</f>
        <v>0</v>
      </c>
      <c r="F177" s="33">
        <f t="shared" ca="1" si="863"/>
        <v>0</v>
      </c>
      <c r="G177" s="33">
        <f t="shared" ca="1" si="863"/>
        <v>0</v>
      </c>
      <c r="H177" s="33">
        <f t="shared" ca="1" si="863"/>
        <v>0</v>
      </c>
      <c r="I177" s="33" t="str">
        <f t="shared" ca="1" si="863"/>
        <v xml:space="preserve"> </v>
      </c>
      <c r="J177" s="33" t="str">
        <f t="shared" si="863"/>
        <v xml:space="preserve"> </v>
      </c>
      <c r="K177" s="33">
        <f t="shared" ca="1" si="863"/>
        <v>0</v>
      </c>
      <c r="L177" s="33">
        <f t="shared" ca="1" si="863"/>
        <v>0</v>
      </c>
      <c r="M177" s="33">
        <f t="shared" ca="1" si="863"/>
        <v>0</v>
      </c>
      <c r="N177" s="33">
        <f t="shared" ca="1" si="863"/>
        <v>0</v>
      </c>
      <c r="O177" s="33" t="str">
        <f t="shared" ca="1" si="863"/>
        <v xml:space="preserve"> </v>
      </c>
      <c r="P177" s="33">
        <f t="shared" ca="1" si="863"/>
        <v>0</v>
      </c>
      <c r="Q177" s="33" t="str">
        <f t="shared" si="863"/>
        <v xml:space="preserve"> </v>
      </c>
      <c r="R177" s="33">
        <f t="shared" ca="1" si="863"/>
        <v>0</v>
      </c>
      <c r="S177" s="33">
        <f t="shared" ca="1" si="863"/>
        <v>0</v>
      </c>
      <c r="T177" s="33">
        <f t="shared" ca="1" si="863"/>
        <v>0</v>
      </c>
      <c r="U177" s="33">
        <f t="shared" ca="1" si="863"/>
        <v>0</v>
      </c>
      <c r="V177" s="33">
        <f t="shared" ca="1" si="863"/>
        <v>0</v>
      </c>
      <c r="W177" s="33">
        <f t="shared" ca="1" si="863"/>
        <v>0</v>
      </c>
      <c r="X177" s="33" t="str">
        <f t="shared" si="863"/>
        <v xml:space="preserve"> </v>
      </c>
      <c r="Y177" s="33">
        <f t="shared" ca="1" si="863"/>
        <v>0</v>
      </c>
      <c r="Z177" s="33">
        <f t="shared" ca="1" si="863"/>
        <v>0</v>
      </c>
      <c r="AA177" s="33">
        <f t="shared" ca="1" si="863"/>
        <v>0</v>
      </c>
      <c r="AB177" s="33">
        <f t="shared" ca="1" si="863"/>
        <v>0</v>
      </c>
      <c r="AC177" s="33">
        <f t="shared" ca="1" si="863"/>
        <v>0</v>
      </c>
      <c r="AD177" s="33">
        <f t="shared" ca="1" si="863"/>
        <v>0</v>
      </c>
      <c r="AE177" s="33" t="str">
        <f t="shared" si="863"/>
        <v xml:space="preserve"> </v>
      </c>
      <c r="AF177" s="33">
        <f t="shared" ca="1" si="863"/>
        <v>0</v>
      </c>
      <c r="AG177" s="33">
        <f t="shared" ca="1" si="863"/>
        <v>0</v>
      </c>
      <c r="AH177" s="33">
        <f t="shared" ca="1" si="863"/>
        <v>0</v>
      </c>
      <c r="AI177" s="33">
        <f t="shared" ca="1" si="816"/>
        <v>0</v>
      </c>
      <c r="AJ177" s="34">
        <f t="shared" ca="1" si="862"/>
        <v>0</v>
      </c>
      <c r="AK177" s="35"/>
      <c r="AL177" s="35"/>
      <c r="AM177" s="35"/>
      <c r="AN177" s="35"/>
      <c r="AO177" s="36" t="s">
        <v>22</v>
      </c>
    </row>
    <row r="178" spans="1:41" ht="15.6" thickBot="1" x14ac:dyDescent="0.35">
      <c r="A178" s="14"/>
      <c r="B178" s="15" t="s">
        <v>22</v>
      </c>
      <c r="C178" s="47" t="s">
        <v>22</v>
      </c>
      <c r="D178" s="37" t="s">
        <v>3</v>
      </c>
      <c r="E178" s="9">
        <f t="shared" ref="E178:T178" ca="1" si="864">IF(OR(E$5="",E$5=0),-2,IF(E$6=$D179,-1,RAND()))</f>
        <v>-1</v>
      </c>
      <c r="F178" s="9">
        <f t="shared" ca="1" si="864"/>
        <v>0.61911449133390895</v>
      </c>
      <c r="G178" s="9">
        <f t="shared" ca="1" si="864"/>
        <v>0.54855797740321699</v>
      </c>
      <c r="H178" s="9">
        <f t="shared" ca="1" si="864"/>
        <v>2.9620372687741647E-2</v>
      </c>
      <c r="I178" s="9">
        <f t="shared" ca="1" si="864"/>
        <v>0.27495809805642912</v>
      </c>
      <c r="J178" s="9">
        <f t="shared" ca="1" si="864"/>
        <v>7.9768836076383298E-2</v>
      </c>
      <c r="K178" s="9">
        <f t="shared" ca="1" si="864"/>
        <v>0.50349641469649375</v>
      </c>
      <c r="L178" s="9">
        <f t="shared" ca="1" si="864"/>
        <v>-1</v>
      </c>
      <c r="M178" s="9">
        <f t="shared" ca="1" si="864"/>
        <v>0.12779862158260946</v>
      </c>
      <c r="N178" s="9">
        <f t="shared" ca="1" si="864"/>
        <v>0.75959271677758677</v>
      </c>
      <c r="O178" s="9">
        <f t="shared" ca="1" si="864"/>
        <v>0.76616348822801728</v>
      </c>
      <c r="P178" s="9">
        <f t="shared" ca="1" si="864"/>
        <v>0.95582382704797653</v>
      </c>
      <c r="Q178" s="9">
        <f t="shared" ca="1" si="864"/>
        <v>0.80841778507698037</v>
      </c>
      <c r="R178" s="9">
        <f t="shared" ca="1" si="864"/>
        <v>0.7697697920170371</v>
      </c>
      <c r="S178" s="9">
        <f t="shared" ca="1" si="864"/>
        <v>-1</v>
      </c>
      <c r="T178" s="9">
        <f t="shared" ca="1" si="864"/>
        <v>0.63246877713885885</v>
      </c>
      <c r="U178" s="9">
        <f t="shared" ref="U178:AI178" ca="1" si="865">IF(OR(U$5="",U$5=0),-2,IF(U$6=$D179,-1,RAND()))</f>
        <v>0.52246157284723582</v>
      </c>
      <c r="V178" s="9">
        <f t="shared" ca="1" si="865"/>
        <v>0.30022234734454212</v>
      </c>
      <c r="W178" s="9">
        <f t="shared" ca="1" si="865"/>
        <v>0.11353356235821166</v>
      </c>
      <c r="X178" s="9">
        <f t="shared" ca="1" si="865"/>
        <v>8.3991008732754335E-2</v>
      </c>
      <c r="Y178" s="9">
        <f t="shared" ca="1" si="865"/>
        <v>0.90285167444545622</v>
      </c>
      <c r="Z178" s="9">
        <f t="shared" ca="1" si="865"/>
        <v>-1</v>
      </c>
      <c r="AA178" s="9">
        <f t="shared" ca="1" si="865"/>
        <v>0.66179160504801959</v>
      </c>
      <c r="AB178" s="9">
        <f t="shared" ca="1" si="865"/>
        <v>0.18307631045015882</v>
      </c>
      <c r="AC178" s="9">
        <f t="shared" ca="1" si="865"/>
        <v>0.88909412703339818</v>
      </c>
      <c r="AD178" s="9">
        <f t="shared" ca="1" si="865"/>
        <v>0.18444553500740679</v>
      </c>
      <c r="AE178" s="9">
        <f t="shared" ca="1" si="865"/>
        <v>0.1650404258100181</v>
      </c>
      <c r="AF178" s="9">
        <f t="shared" ca="1" si="865"/>
        <v>8.8988538873794654E-2</v>
      </c>
      <c r="AG178" s="9">
        <f t="shared" ca="1" si="865"/>
        <v>-1</v>
      </c>
      <c r="AH178" s="9">
        <f t="shared" ca="1" si="865"/>
        <v>1.9531961920305041E-2</v>
      </c>
      <c r="AI178" s="9">
        <f t="shared" ca="1" si="865"/>
        <v>0.77722862501379664</v>
      </c>
      <c r="AJ178" s="38"/>
      <c r="AK178" s="37"/>
      <c r="AL178" s="37"/>
      <c r="AM178" s="37"/>
      <c r="AN178" s="37"/>
      <c r="AO178" s="39" t="s">
        <v>22</v>
      </c>
    </row>
    <row r="179" spans="1:41" ht="15.6" thickBot="1" x14ac:dyDescent="0.35">
      <c r="A179" s="42"/>
      <c r="B179" s="44" t="s">
        <v>41</v>
      </c>
      <c r="C179" s="43" t="s">
        <v>63</v>
      </c>
      <c r="D179" s="37" t="s">
        <v>72</v>
      </c>
      <c r="E179" s="9" t="str">
        <f t="shared" ref="E179" si="866">IF(OR(E$5="",E$5=0),"",IF(E$6=$D179,"W",IF(_xlfn.RANK.EQ(E178,$E178:$AI178,0)&lt;=INT($AO179),"P",IF(AND(_xlfn.RANK.EQ(E178,$E178:$AI178,0)=INT($AO179)+1,MOD($AO179,1)=0.5),"H","A"))))</f>
        <v>W</v>
      </c>
      <c r="F179" s="9" t="str">
        <f t="shared" ref="F179" ca="1" si="867">IF(OR(F$5="",F$5=0),"",IF(F$6=$D179,"W",IF(_xlfn.RANK.EQ(F178,$E178:$AI178,0)&lt;=INT($AO179),"P",IF(AND(_xlfn.RANK.EQ(F178,$E178:$AI178,0)=INT($AO179)+1,MOD($AO179,1)=0.5),"H","A"))))</f>
        <v>P</v>
      </c>
      <c r="G179" s="9" t="str">
        <f t="shared" ref="G179" ca="1" si="868">IF(OR(G$5="",G$5=0),"",IF(G$6=$D179,"W",IF(_xlfn.RANK.EQ(G178,$E178:$AI178,0)&lt;=INT($AO179),"P",IF(AND(_xlfn.RANK.EQ(G178,$E178:$AI178,0)=INT($AO179)+1,MOD($AO179,1)=0.5),"H","A"))))</f>
        <v>P</v>
      </c>
      <c r="H179" s="9" t="str">
        <f t="shared" ref="H179" ca="1" si="869">IF(OR(H$5="",H$5=0),"",IF(H$6=$D179,"W",IF(_xlfn.RANK.EQ(H178,$E178:$AI178,0)&lt;=INT($AO179),"P",IF(AND(_xlfn.RANK.EQ(H178,$E178:$AI178,0)=INT($AO179)+1,MOD($AO179,1)=0.5),"H","A"))))</f>
        <v>P</v>
      </c>
      <c r="I179" s="9" t="str">
        <f t="shared" ref="I179" ca="1" si="870">IF(OR(I$5="",I$5=0),"",IF(I$6=$D179,"W",IF(_xlfn.RANK.EQ(I178,$E178:$AI178,0)&lt;=INT($AO179),"P",IF(AND(_xlfn.RANK.EQ(I178,$E178:$AI178,0)=INT($AO179)+1,MOD($AO179,1)=0.5),"H","A"))))</f>
        <v>P</v>
      </c>
      <c r="J179" s="9" t="str">
        <f t="shared" ref="J179" ca="1" si="871">IF(OR(J$5="",J$5=0),"",IF(J$6=$D179,"W",IF(_xlfn.RANK.EQ(J178,$E178:$AI178,0)&lt;=INT($AO179),"P",IF(AND(_xlfn.RANK.EQ(J178,$E178:$AI178,0)=INT($AO179)+1,MOD($AO179,1)=0.5),"H","A"))))</f>
        <v>P</v>
      </c>
      <c r="K179" s="9" t="str">
        <f t="shared" ref="K179" ca="1" si="872">IF(OR(K$5="",K$5=0),"",IF(K$6=$D179,"W",IF(_xlfn.RANK.EQ(K178,$E178:$AI178,0)&lt;=INT($AO179),"P",IF(AND(_xlfn.RANK.EQ(K178,$E178:$AI178,0)=INT($AO179)+1,MOD($AO179,1)=0.5),"H","A"))))</f>
        <v>P</v>
      </c>
      <c r="L179" s="9" t="str">
        <f t="shared" ref="L179" si="873">IF(OR(L$5="",L$5=0),"",IF(L$6=$D179,"W",IF(_xlfn.RANK.EQ(L178,$E178:$AI178,0)&lt;=INT($AO179),"P",IF(AND(_xlfn.RANK.EQ(L178,$E178:$AI178,0)=INT($AO179)+1,MOD($AO179,1)=0.5),"H","A"))))</f>
        <v>W</v>
      </c>
      <c r="M179" s="9" t="str">
        <f t="shared" ref="M179" ca="1" si="874">IF(OR(M$5="",M$5=0),"",IF(M$6=$D179,"W",IF(_xlfn.RANK.EQ(M178,$E178:$AI178,0)&lt;=INT($AO179),"P",IF(AND(_xlfn.RANK.EQ(M178,$E178:$AI178,0)=INT($AO179)+1,MOD($AO179,1)=0.5),"H","A"))))</f>
        <v>P</v>
      </c>
      <c r="N179" s="9" t="str">
        <f t="shared" ref="N179" ca="1" si="875">IF(OR(N$5="",N$5=0),"",IF(N$6=$D179,"W",IF(_xlfn.RANK.EQ(N178,$E178:$AI178,0)&lt;=INT($AO179),"P",IF(AND(_xlfn.RANK.EQ(N178,$E178:$AI178,0)=INT($AO179)+1,MOD($AO179,1)=0.5),"H","A"))))</f>
        <v>P</v>
      </c>
      <c r="O179" s="9" t="str">
        <f t="shared" ref="O179" ca="1" si="876">IF(OR(O$5="",O$5=0),"",IF(O$6=$D179,"W",IF(_xlfn.RANK.EQ(O178,$E178:$AI178,0)&lt;=INT($AO179),"P",IF(AND(_xlfn.RANK.EQ(O178,$E178:$AI178,0)=INT($AO179)+1,MOD($AO179,1)=0.5),"H","A"))))</f>
        <v>P</v>
      </c>
      <c r="P179" s="9" t="str">
        <f t="shared" ref="P179" ca="1" si="877">IF(OR(P$5="",P$5=0),"",IF(P$6=$D179,"W",IF(_xlfn.RANK.EQ(P178,$E178:$AI178,0)&lt;=INT($AO179),"P",IF(AND(_xlfn.RANK.EQ(P178,$E178:$AI178,0)=INT($AO179)+1,MOD($AO179,1)=0.5),"H","A"))))</f>
        <v>P</v>
      </c>
      <c r="Q179" s="9" t="str">
        <f t="shared" ref="Q179" ca="1" si="878">IF(OR(Q$5="",Q$5=0),"",IF(Q$6=$D179,"W",IF(_xlfn.RANK.EQ(Q178,$E178:$AI178,0)&lt;=INT($AO179),"P",IF(AND(_xlfn.RANK.EQ(Q178,$E178:$AI178,0)=INT($AO179)+1,MOD($AO179,1)=0.5),"H","A"))))</f>
        <v>P</v>
      </c>
      <c r="R179" s="9" t="str">
        <f t="shared" ref="R179" ca="1" si="879">IF(OR(R$5="",R$5=0),"",IF(R$6=$D179,"W",IF(_xlfn.RANK.EQ(R178,$E178:$AI178,0)&lt;=INT($AO179),"P",IF(AND(_xlfn.RANK.EQ(R178,$E178:$AI178,0)=INT($AO179)+1,MOD($AO179,1)=0.5),"H","A"))))</f>
        <v>P</v>
      </c>
      <c r="S179" s="9" t="str">
        <f t="shared" ref="S179" si="880">IF(OR(S$5="",S$5=0),"",IF(S$6=$D179,"W",IF(_xlfn.RANK.EQ(S178,$E178:$AI178,0)&lt;=INT($AO179),"P",IF(AND(_xlfn.RANK.EQ(S178,$E178:$AI178,0)=INT($AO179)+1,MOD($AO179,1)=0.5),"H","A"))))</f>
        <v>W</v>
      </c>
      <c r="T179" s="9" t="str">
        <f t="shared" ref="T179" ca="1" si="881">IF(OR(T$5="",T$5=0),"",IF(T$6=$D179,"W",IF(_xlfn.RANK.EQ(T178,$E178:$AI178,0)&lt;=INT($AO179),"P",IF(AND(_xlfn.RANK.EQ(T178,$E178:$AI178,0)=INT($AO179)+1,MOD($AO179,1)=0.5),"H","A"))))</f>
        <v>P</v>
      </c>
      <c r="U179" s="9" t="str">
        <f t="shared" ref="U179" ca="1" si="882">IF(OR(U$5="",U$5=0),"",IF(U$6=$D179,"W",IF(_xlfn.RANK.EQ(U178,$E178:$AI178,0)&lt;=INT($AO179),"P",IF(AND(_xlfn.RANK.EQ(U178,$E178:$AI178,0)=INT($AO179)+1,MOD($AO179,1)=0.5),"H","A"))))</f>
        <v>P</v>
      </c>
      <c r="V179" s="9" t="str">
        <f t="shared" ref="V179" ca="1" si="883">IF(OR(V$5="",V$5=0),"",IF(V$6=$D179,"W",IF(_xlfn.RANK.EQ(V178,$E178:$AI178,0)&lt;=INT($AO179),"P",IF(AND(_xlfn.RANK.EQ(V178,$E178:$AI178,0)=INT($AO179)+1,MOD($AO179,1)=0.5),"H","A"))))</f>
        <v>P</v>
      </c>
      <c r="W179" s="9" t="str">
        <f t="shared" ref="W179" ca="1" si="884">IF(OR(W$5="",W$5=0),"",IF(W$6=$D179,"W",IF(_xlfn.RANK.EQ(W178,$E178:$AI178,0)&lt;=INT($AO179),"P",IF(AND(_xlfn.RANK.EQ(W178,$E178:$AI178,0)=INT($AO179)+1,MOD($AO179,1)=0.5),"H","A"))))</f>
        <v>P</v>
      </c>
      <c r="X179" s="9" t="str">
        <f t="shared" ref="X179" ca="1" si="885">IF(OR(X$5="",X$5=0),"",IF(X$6=$D179,"W",IF(_xlfn.RANK.EQ(X178,$E178:$AI178,0)&lt;=INT($AO179),"P",IF(AND(_xlfn.RANK.EQ(X178,$E178:$AI178,0)=INT($AO179)+1,MOD($AO179,1)=0.5),"H","A"))))</f>
        <v>P</v>
      </c>
      <c r="Y179" s="9" t="str">
        <f t="shared" ref="Y179" ca="1" si="886">IF(OR(Y$5="",Y$5=0),"",IF(Y$6=$D179,"W",IF(_xlfn.RANK.EQ(Y178,$E178:$AI178,0)&lt;=INT($AO179),"P",IF(AND(_xlfn.RANK.EQ(Y178,$E178:$AI178,0)=INT($AO179)+1,MOD($AO179,1)=0.5),"H","A"))))</f>
        <v>P</v>
      </c>
      <c r="Z179" s="9" t="str">
        <f t="shared" ref="Z179" si="887">IF(OR(Z$5="",Z$5=0),"",IF(Z$6=$D179,"W",IF(_xlfn.RANK.EQ(Z178,$E178:$AI178,0)&lt;=INT($AO179),"P",IF(AND(_xlfn.RANK.EQ(Z178,$E178:$AI178,0)=INT($AO179)+1,MOD($AO179,1)=0.5),"H","A"))))</f>
        <v>W</v>
      </c>
      <c r="AA179" s="9" t="str">
        <f t="shared" ref="AA179" ca="1" si="888">IF(OR(AA$5="",AA$5=0),"",IF(AA$6=$D179,"W",IF(_xlfn.RANK.EQ(AA178,$E178:$AI178,0)&lt;=INT($AO179),"P",IF(AND(_xlfn.RANK.EQ(AA178,$E178:$AI178,0)=INT($AO179)+1,MOD($AO179,1)=0.5),"H","A"))))</f>
        <v>P</v>
      </c>
      <c r="AB179" s="9" t="str">
        <f t="shared" ref="AB179" ca="1" si="889">IF(OR(AB$5="",AB$5=0),"",IF(AB$6=$D179,"W",IF(_xlfn.RANK.EQ(AB178,$E178:$AI178,0)&lt;=INT($AO179),"P",IF(AND(_xlfn.RANK.EQ(AB178,$E178:$AI178,0)=INT($AO179)+1,MOD($AO179,1)=0.5),"H","A"))))</f>
        <v>P</v>
      </c>
      <c r="AC179" s="9" t="str">
        <f t="shared" ref="AC179" ca="1" si="890">IF(OR(AC$5="",AC$5=0),"",IF(AC$6=$D179,"W",IF(_xlfn.RANK.EQ(AC178,$E178:$AI178,0)&lt;=INT($AO179),"P",IF(AND(_xlfn.RANK.EQ(AC178,$E178:$AI178,0)=INT($AO179)+1,MOD($AO179,1)=0.5),"H","A"))))</f>
        <v>P</v>
      </c>
      <c r="AD179" s="9" t="str">
        <f t="shared" ref="AD179" ca="1" si="891">IF(OR(AD$5="",AD$5=0),"",IF(AD$6=$D179,"W",IF(_xlfn.RANK.EQ(AD178,$E178:$AI178,0)&lt;=INT($AO179),"P",IF(AND(_xlfn.RANK.EQ(AD178,$E178:$AI178,0)=INT($AO179)+1,MOD($AO179,1)=0.5),"H","A"))))</f>
        <v>P</v>
      </c>
      <c r="AE179" s="9" t="str">
        <f t="shared" ref="AE179" ca="1" si="892">IF(OR(AE$5="",AE$5=0),"",IF(AE$6=$D179,"W",IF(_xlfn.RANK.EQ(AE178,$E178:$AI178,0)&lt;=INT($AO179),"P",IF(AND(_xlfn.RANK.EQ(AE178,$E178:$AI178,0)=INT($AO179)+1,MOD($AO179,1)=0.5),"H","A"))))</f>
        <v>P</v>
      </c>
      <c r="AF179" s="9" t="str">
        <f t="shared" ref="AF179" ca="1" si="893">IF(OR(AF$5="",AF$5=0),"",IF(AF$6=$D179,"W",IF(_xlfn.RANK.EQ(AF178,$E178:$AI178,0)&lt;=INT($AO179),"P",IF(AND(_xlfn.RANK.EQ(AF178,$E178:$AI178,0)=INT($AO179)+1,MOD($AO179,1)=0.5),"H","A"))))</f>
        <v>P</v>
      </c>
      <c r="AG179" s="9" t="str">
        <f t="shared" ref="AG179" si="894">IF(OR(AG$5="",AG$5=0),"",IF(AG$6=$D179,"W",IF(_xlfn.RANK.EQ(AG178,$E178:$AI178,0)&lt;=INT($AO179),"P",IF(AND(_xlfn.RANK.EQ(AG178,$E178:$AI178,0)=INT($AO179)+1,MOD($AO179,1)=0.5),"H","A"))))</f>
        <v>W</v>
      </c>
      <c r="AH179" s="9" t="str">
        <f t="shared" ref="AH179" ca="1" si="895">IF(OR(AH$5="",AH$5=0),"",IF(AH$6=$D179,"W",IF(_xlfn.RANK.EQ(AH178,$E178:$AI178,0)&lt;=INT($AO179),"P",IF(AND(_xlfn.RANK.EQ(AH178,$E178:$AI178,0)=INT($AO179)+1,MOD($AO179,1)=0.5),"H","A"))))</f>
        <v>P</v>
      </c>
      <c r="AI179" s="9" t="str">
        <f t="shared" ref="AI179" ca="1" si="896">IF(OR(AI$5="",AI$5=0),"",IF(AI$6=$D179,"W",IF(_xlfn.RANK.EQ(AI178,$E178:$AI178,0)&lt;=INT($AO179),"P",IF(AND(_xlfn.RANK.EQ(AI178,$E178:$AI178,0)=INT($AO179)+1,MOD($AO179,1)=0.5),"H","A"))))</f>
        <v>P</v>
      </c>
      <c r="AJ179" s="16">
        <f t="shared" ref="AJ179" ca="1" si="897">COUNTIF(E179:AI179, "P")</f>
        <v>26</v>
      </c>
      <c r="AK179" s="17">
        <f t="shared" ref="AK179" ca="1" si="898">COUNTIF(E179:AH179, "A")</f>
        <v>0</v>
      </c>
      <c r="AL179" s="17">
        <f t="shared" ref="AL179" ca="1" si="899">COUNTIF(E179:AH179, "W")</f>
        <v>5</v>
      </c>
      <c r="AM179" s="17">
        <f t="shared" ref="AM179" ca="1" si="900">COUNTIF(E179:AH179, "H")</f>
        <v>0</v>
      </c>
      <c r="AN179" s="17">
        <f t="shared" ref="AN179" ca="1" si="901">COUNTIF(E179:AH179, "PL")</f>
        <v>0</v>
      </c>
      <c r="AO179" s="18">
        <v>26</v>
      </c>
    </row>
    <row r="180" spans="1:41" ht="15" x14ac:dyDescent="0.3">
      <c r="A180" s="19"/>
      <c r="B180" s="1" t="s">
        <v>22</v>
      </c>
      <c r="C180" s="48" t="s">
        <v>22</v>
      </c>
      <c r="D180" s="45" t="s">
        <v>1</v>
      </c>
      <c r="E180" s="20" t="str">
        <f t="shared" ref="E180:AI189" ca="1" si="902">IF(E179="P", IF($D178="G", TEXT(RAND()*(9.27-9.62)/24+9.62/24,"HH:MM"), IF($D178="A", TEXT(RAND()*(8.06-8.1)/24+8.15/24,"HH:MM"), IF($D178="B", TEXT(RAND()*(16.06-16.1)/24+16.15/24,"HH:MM"), IF($D178="C", TEXT(RAND()*(24.85-24.13)/24+24.13/24,"HH:MM"), " ")))), "")</f>
        <v/>
      </c>
      <c r="F180" s="20" t="str">
        <f t="shared" ca="1" si="902"/>
        <v>08:07</v>
      </c>
      <c r="G180" s="20" t="str">
        <f t="shared" ca="1" si="902"/>
        <v>08:08</v>
      </c>
      <c r="H180" s="20" t="str">
        <f t="shared" ca="1" si="902"/>
        <v>08:08</v>
      </c>
      <c r="I180" s="20" t="str">
        <f t="shared" ca="1" si="902"/>
        <v>08:06</v>
      </c>
      <c r="J180" s="20" t="str">
        <f t="shared" ca="1" si="902"/>
        <v>08:07</v>
      </c>
      <c r="K180" s="20" t="str">
        <f t="shared" ca="1" si="902"/>
        <v>08:08</v>
      </c>
      <c r="L180" s="20" t="str">
        <f t="shared" ca="1" si="902"/>
        <v/>
      </c>
      <c r="M180" s="20" t="str">
        <f t="shared" ca="1" si="902"/>
        <v>08:06</v>
      </c>
      <c r="N180" s="20" t="str">
        <f t="shared" ca="1" si="902"/>
        <v>08:06</v>
      </c>
      <c r="O180" s="20" t="str">
        <f t="shared" ca="1" si="902"/>
        <v>08:08</v>
      </c>
      <c r="P180" s="20" t="str">
        <f t="shared" ca="1" si="902"/>
        <v>08:08</v>
      </c>
      <c r="Q180" s="20" t="str">
        <f t="shared" ca="1" si="902"/>
        <v>08:08</v>
      </c>
      <c r="R180" s="20" t="str">
        <f t="shared" ca="1" si="902"/>
        <v>08:06</v>
      </c>
      <c r="S180" s="20" t="str">
        <f t="shared" ca="1" si="902"/>
        <v/>
      </c>
      <c r="T180" s="20" t="str">
        <f t="shared" ca="1" si="902"/>
        <v>08:07</v>
      </c>
      <c r="U180" s="20" t="str">
        <f t="shared" ca="1" si="902"/>
        <v>08:08</v>
      </c>
      <c r="V180" s="20" t="str">
        <f t="shared" ca="1" si="902"/>
        <v>08:07</v>
      </c>
      <c r="W180" s="20" t="str">
        <f t="shared" ca="1" si="902"/>
        <v>08:07</v>
      </c>
      <c r="X180" s="20" t="str">
        <f t="shared" ca="1" si="902"/>
        <v>08:07</v>
      </c>
      <c r="Y180" s="20" t="str">
        <f t="shared" ca="1" si="902"/>
        <v>08:08</v>
      </c>
      <c r="Z180" s="20" t="str">
        <f t="shared" ca="1" si="902"/>
        <v/>
      </c>
      <c r="AA180" s="20" t="str">
        <f t="shared" ca="1" si="902"/>
        <v>08:07</v>
      </c>
      <c r="AB180" s="20" t="str">
        <f t="shared" ca="1" si="902"/>
        <v>08:06</v>
      </c>
      <c r="AC180" s="20" t="str">
        <f t="shared" ca="1" si="902"/>
        <v>08:06</v>
      </c>
      <c r="AD180" s="20" t="str">
        <f t="shared" ca="1" si="902"/>
        <v>08:08</v>
      </c>
      <c r="AE180" s="20" t="str">
        <f t="shared" ca="1" si="902"/>
        <v>08:06</v>
      </c>
      <c r="AF180" s="20" t="str">
        <f t="shared" ca="1" si="902"/>
        <v>08:06</v>
      </c>
      <c r="AG180" s="20" t="str">
        <f t="shared" ca="1" si="902"/>
        <v/>
      </c>
      <c r="AH180" s="20" t="str">
        <f t="shared" ca="1" si="902"/>
        <v>08:07</v>
      </c>
      <c r="AI180" s="20" t="str">
        <f t="shared" ca="1" si="902"/>
        <v>08:07</v>
      </c>
      <c r="AJ180" s="21"/>
      <c r="AK180" s="22"/>
      <c r="AL180" s="22"/>
      <c r="AM180" s="22"/>
      <c r="AN180" s="22"/>
      <c r="AO180" s="23" t="s">
        <v>22</v>
      </c>
    </row>
    <row r="181" spans="1:41" ht="15" x14ac:dyDescent="0.3">
      <c r="A181" s="19"/>
      <c r="B181" s="1" t="s">
        <v>22</v>
      </c>
      <c r="C181" s="48" t="s">
        <v>22</v>
      </c>
      <c r="D181" s="45" t="s">
        <v>2</v>
      </c>
      <c r="E181" s="20" t="str">
        <f t="shared" ref="E181:AI190" ca="1" si="903">IF(E179="P", IF($D178="G", TEXT(RAND()*(18.85-18.13)/24+18.13/24,"HH:MM"), IF($D178="A", TEXT(RAND()*(16.85-16.13)/24+16.13/24,"HH:MM"), IF($D178="B", TEXT(RAND()*(24.85-24.13)/24+24.13/24,"HH:MM"), IF($D178="C", TEXT(RAND()*(8.85-8.13)/24+8.13/24,"HH:MM"), " ")))), "")</f>
        <v/>
      </c>
      <c r="F181" s="20" t="str">
        <f t="shared" ca="1" si="903"/>
        <v>16:08</v>
      </c>
      <c r="G181" s="20" t="str">
        <f t="shared" ca="1" si="903"/>
        <v>16:49</v>
      </c>
      <c r="H181" s="20" t="str">
        <f t="shared" ca="1" si="903"/>
        <v>16:20</v>
      </c>
      <c r="I181" s="20" t="str">
        <f t="shared" ca="1" si="903"/>
        <v>16:20</v>
      </c>
      <c r="J181" s="20" t="str">
        <f t="shared" ca="1" si="903"/>
        <v>16:27</v>
      </c>
      <c r="K181" s="20" t="str">
        <f t="shared" ca="1" si="903"/>
        <v>16:17</v>
      </c>
      <c r="L181" s="20" t="str">
        <f t="shared" ca="1" si="903"/>
        <v/>
      </c>
      <c r="M181" s="20" t="str">
        <f t="shared" ca="1" si="903"/>
        <v>16:22</v>
      </c>
      <c r="N181" s="20" t="str">
        <f t="shared" ca="1" si="903"/>
        <v>16:12</v>
      </c>
      <c r="O181" s="20" t="str">
        <f t="shared" ca="1" si="903"/>
        <v>16:37</v>
      </c>
      <c r="P181" s="20" t="str">
        <f t="shared" ca="1" si="903"/>
        <v>16:38</v>
      </c>
      <c r="Q181" s="20" t="str">
        <f t="shared" ca="1" si="903"/>
        <v>16:17</v>
      </c>
      <c r="R181" s="20" t="str">
        <f t="shared" ca="1" si="903"/>
        <v>16:42</v>
      </c>
      <c r="S181" s="20" t="str">
        <f t="shared" ca="1" si="903"/>
        <v/>
      </c>
      <c r="T181" s="20" t="str">
        <f t="shared" ca="1" si="903"/>
        <v>16:26</v>
      </c>
      <c r="U181" s="20" t="str">
        <f t="shared" ca="1" si="903"/>
        <v>16:43</v>
      </c>
      <c r="V181" s="20" t="str">
        <f t="shared" ca="1" si="903"/>
        <v>16:14</v>
      </c>
      <c r="W181" s="20" t="str">
        <f t="shared" ca="1" si="903"/>
        <v>16:23</v>
      </c>
      <c r="X181" s="20" t="str">
        <f t="shared" ca="1" si="903"/>
        <v>16:46</v>
      </c>
      <c r="Y181" s="20" t="str">
        <f t="shared" ca="1" si="903"/>
        <v>16:19</v>
      </c>
      <c r="Z181" s="20" t="str">
        <f t="shared" ca="1" si="903"/>
        <v/>
      </c>
      <c r="AA181" s="20" t="str">
        <f t="shared" ca="1" si="903"/>
        <v>16:36</v>
      </c>
      <c r="AB181" s="20" t="str">
        <f t="shared" ca="1" si="903"/>
        <v>16:32</v>
      </c>
      <c r="AC181" s="20" t="str">
        <f t="shared" ca="1" si="903"/>
        <v>16:42</v>
      </c>
      <c r="AD181" s="20" t="str">
        <f t="shared" ca="1" si="903"/>
        <v>16:45</v>
      </c>
      <c r="AE181" s="20" t="str">
        <f t="shared" ca="1" si="903"/>
        <v>16:31</v>
      </c>
      <c r="AF181" s="20" t="str">
        <f t="shared" ca="1" si="903"/>
        <v>16:26</v>
      </c>
      <c r="AG181" s="20" t="str">
        <f t="shared" ca="1" si="903"/>
        <v/>
      </c>
      <c r="AH181" s="20" t="str">
        <f t="shared" ca="1" si="903"/>
        <v>16:24</v>
      </c>
      <c r="AI181" s="20" t="str">
        <f t="shared" ca="1" si="903"/>
        <v>16:10</v>
      </c>
      <c r="AJ181" s="24" t="s">
        <v>13</v>
      </c>
      <c r="AK181" s="25"/>
      <c r="AL181" s="25"/>
      <c r="AM181" s="25"/>
      <c r="AN181" s="25"/>
      <c r="AO181" s="23" t="s">
        <v>22</v>
      </c>
    </row>
    <row r="182" spans="1:41" ht="15" x14ac:dyDescent="0.3">
      <c r="A182" s="26"/>
      <c r="B182" s="1" t="s">
        <v>22</v>
      </c>
      <c r="C182" s="48" t="s">
        <v>22</v>
      </c>
      <c r="D182" s="45" t="s">
        <v>14</v>
      </c>
      <c r="E182" s="27" t="str">
        <f t="shared" ref="E182:AI191" si="904">IF(E179="P", MOD(E181-E180, 1), " ")</f>
        <v xml:space="preserve"> </v>
      </c>
      <c r="F182" s="27">
        <f t="shared" ca="1" si="904"/>
        <v>0.33402777777777781</v>
      </c>
      <c r="G182" s="27">
        <f t="shared" ca="1" si="904"/>
        <v>0.36180555555555549</v>
      </c>
      <c r="H182" s="27">
        <f t="shared" ca="1" si="904"/>
        <v>0.34166666666666667</v>
      </c>
      <c r="I182" s="27">
        <f t="shared" ca="1" si="904"/>
        <v>0.34305555555555556</v>
      </c>
      <c r="J182" s="27">
        <f t="shared" ca="1" si="904"/>
        <v>0.34722222222222221</v>
      </c>
      <c r="K182" s="27">
        <f t="shared" ca="1" si="904"/>
        <v>0.33958333333333335</v>
      </c>
      <c r="L182" s="27" t="str">
        <f t="shared" si="904"/>
        <v xml:space="preserve"> </v>
      </c>
      <c r="M182" s="27">
        <f t="shared" ca="1" si="904"/>
        <v>0.34444444444444444</v>
      </c>
      <c r="N182" s="27">
        <f t="shared" ca="1" si="904"/>
        <v>0.33750000000000002</v>
      </c>
      <c r="O182" s="27">
        <f t="shared" ca="1" si="904"/>
        <v>0.35347222222222219</v>
      </c>
      <c r="P182" s="27">
        <f t="shared" ca="1" si="904"/>
        <v>0.35416666666666663</v>
      </c>
      <c r="Q182" s="27">
        <f t="shared" ca="1" si="904"/>
        <v>0.33958333333333335</v>
      </c>
      <c r="R182" s="27">
        <f t="shared" ca="1" si="904"/>
        <v>0.35833333333333328</v>
      </c>
      <c r="S182" s="27" t="str">
        <f t="shared" si="904"/>
        <v xml:space="preserve"> </v>
      </c>
      <c r="T182" s="27">
        <f t="shared" ca="1" si="904"/>
        <v>0.34652777777777777</v>
      </c>
      <c r="U182" s="27">
        <f t="shared" ca="1" si="904"/>
        <v>0.35763888888888884</v>
      </c>
      <c r="V182" s="27">
        <f t="shared" ca="1" si="904"/>
        <v>0.33819444444444446</v>
      </c>
      <c r="W182" s="27">
        <f t="shared" ca="1" si="904"/>
        <v>0.34444444444444444</v>
      </c>
      <c r="X182" s="27">
        <f t="shared" ca="1" si="904"/>
        <v>0.36041666666666661</v>
      </c>
      <c r="Y182" s="27">
        <f t="shared" ca="1" si="904"/>
        <v>0.34097222222222223</v>
      </c>
      <c r="Z182" s="27" t="str">
        <f t="shared" si="904"/>
        <v xml:space="preserve"> </v>
      </c>
      <c r="AA182" s="27">
        <f t="shared" ca="1" si="904"/>
        <v>0.35347222222222219</v>
      </c>
      <c r="AB182" s="27">
        <f t="shared" ca="1" si="904"/>
        <v>0.35138888888888886</v>
      </c>
      <c r="AC182" s="27">
        <f t="shared" ca="1" si="904"/>
        <v>0.35833333333333328</v>
      </c>
      <c r="AD182" s="27">
        <f t="shared" ca="1" si="904"/>
        <v>0.35902777777777772</v>
      </c>
      <c r="AE182" s="27">
        <f t="shared" ca="1" si="904"/>
        <v>0.35069444444444442</v>
      </c>
      <c r="AF182" s="27">
        <f t="shared" ca="1" si="904"/>
        <v>0.34722222222222221</v>
      </c>
      <c r="AG182" s="27" t="str">
        <f t="shared" si="904"/>
        <v xml:space="preserve"> </v>
      </c>
      <c r="AH182" s="27">
        <f t="shared" ca="1" si="904"/>
        <v>0.34513888888888888</v>
      </c>
      <c r="AI182" s="27">
        <f t="shared" ca="1" si="904"/>
        <v>0.3354166666666667</v>
      </c>
      <c r="AJ182" s="28">
        <f t="shared" ref="AJ182" ca="1" si="905">AJ179*8</f>
        <v>208</v>
      </c>
      <c r="AK182" s="29"/>
      <c r="AL182" s="29"/>
      <c r="AM182" s="29"/>
      <c r="AN182" s="29"/>
      <c r="AO182" s="23" t="s">
        <v>22</v>
      </c>
    </row>
    <row r="183" spans="1:41" ht="15" x14ac:dyDescent="0.3">
      <c r="A183" s="26"/>
      <c r="B183" s="1" t="s">
        <v>22</v>
      </c>
      <c r="C183" s="48" t="s">
        <v>22</v>
      </c>
      <c r="D183" s="45" t="s">
        <v>19</v>
      </c>
      <c r="E183" s="27" t="str">
        <f t="shared" ref="E183:AI192" si="906">IF(E179="P","08:00"," ")</f>
        <v xml:space="preserve"> </v>
      </c>
      <c r="F183" s="27" t="str">
        <f t="shared" ca="1" si="906"/>
        <v>08:00</v>
      </c>
      <c r="G183" s="27" t="str">
        <f t="shared" ca="1" si="906"/>
        <v>08:00</v>
      </c>
      <c r="H183" s="27" t="str">
        <f t="shared" ca="1" si="906"/>
        <v>08:00</v>
      </c>
      <c r="I183" s="27" t="str">
        <f t="shared" ca="1" si="906"/>
        <v>08:00</v>
      </c>
      <c r="J183" s="27" t="str">
        <f t="shared" ca="1" si="906"/>
        <v>08:00</v>
      </c>
      <c r="K183" s="27" t="str">
        <f t="shared" ca="1" si="906"/>
        <v>08:00</v>
      </c>
      <c r="L183" s="27" t="str">
        <f t="shared" si="906"/>
        <v xml:space="preserve"> </v>
      </c>
      <c r="M183" s="27" t="str">
        <f t="shared" ca="1" si="906"/>
        <v>08:00</v>
      </c>
      <c r="N183" s="27" t="str">
        <f t="shared" ca="1" si="906"/>
        <v>08:00</v>
      </c>
      <c r="O183" s="27" t="str">
        <f t="shared" ca="1" si="906"/>
        <v>08:00</v>
      </c>
      <c r="P183" s="27" t="str">
        <f t="shared" ca="1" si="906"/>
        <v>08:00</v>
      </c>
      <c r="Q183" s="27" t="str">
        <f t="shared" ca="1" si="906"/>
        <v>08:00</v>
      </c>
      <c r="R183" s="27" t="str">
        <f t="shared" ca="1" si="906"/>
        <v>08:00</v>
      </c>
      <c r="S183" s="27" t="str">
        <f t="shared" si="906"/>
        <v xml:space="preserve"> </v>
      </c>
      <c r="T183" s="27" t="str">
        <f t="shared" ca="1" si="906"/>
        <v>08:00</v>
      </c>
      <c r="U183" s="27" t="str">
        <f t="shared" ca="1" si="906"/>
        <v>08:00</v>
      </c>
      <c r="V183" s="27" t="str">
        <f t="shared" ca="1" si="906"/>
        <v>08:00</v>
      </c>
      <c r="W183" s="27" t="str">
        <f t="shared" ca="1" si="906"/>
        <v>08:00</v>
      </c>
      <c r="X183" s="27" t="str">
        <f t="shared" ca="1" si="906"/>
        <v>08:00</v>
      </c>
      <c r="Y183" s="27" t="str">
        <f t="shared" ca="1" si="906"/>
        <v>08:00</v>
      </c>
      <c r="Z183" s="27" t="str">
        <f t="shared" si="906"/>
        <v xml:space="preserve"> </v>
      </c>
      <c r="AA183" s="27" t="str">
        <f t="shared" ca="1" si="906"/>
        <v>08:00</v>
      </c>
      <c r="AB183" s="27" t="str">
        <f t="shared" ca="1" si="906"/>
        <v>08:00</v>
      </c>
      <c r="AC183" s="27" t="str">
        <f t="shared" ca="1" si="906"/>
        <v>08:00</v>
      </c>
      <c r="AD183" s="27" t="str">
        <f t="shared" ca="1" si="906"/>
        <v>08:00</v>
      </c>
      <c r="AE183" s="27" t="str">
        <f t="shared" ca="1" si="906"/>
        <v>08:00</v>
      </c>
      <c r="AF183" s="27" t="str">
        <f t="shared" ca="1" si="906"/>
        <v>08:00</v>
      </c>
      <c r="AG183" s="27" t="str">
        <f t="shared" si="906"/>
        <v xml:space="preserve"> </v>
      </c>
      <c r="AH183" s="27" t="str">
        <f t="shared" ca="1" si="906"/>
        <v>08:00</v>
      </c>
      <c r="AI183" s="27" t="str">
        <f t="shared" ca="1" si="906"/>
        <v>08:00</v>
      </c>
      <c r="AJ183" s="28"/>
      <c r="AK183" s="29"/>
      <c r="AL183" s="29"/>
      <c r="AM183" s="29"/>
      <c r="AN183" s="29"/>
      <c r="AO183" s="23" t="s">
        <v>22</v>
      </c>
    </row>
    <row r="184" spans="1:41" ht="15" x14ac:dyDescent="0.3">
      <c r="A184" s="26"/>
      <c r="B184" s="1" t="s">
        <v>22</v>
      </c>
      <c r="C184" s="48" t="s">
        <v>22</v>
      </c>
      <c r="D184" s="45" t="s">
        <v>12</v>
      </c>
      <c r="E184" s="27" t="str">
        <f t="shared" ref="E184:AI193" si="907">IF(E179="P","01:00"," ")</f>
        <v xml:space="preserve"> </v>
      </c>
      <c r="F184" s="27" t="str">
        <f t="shared" ca="1" si="907"/>
        <v>01:00</v>
      </c>
      <c r="G184" s="27" t="str">
        <f t="shared" ca="1" si="907"/>
        <v>01:00</v>
      </c>
      <c r="H184" s="27" t="str">
        <f t="shared" ca="1" si="907"/>
        <v>01:00</v>
      </c>
      <c r="I184" s="27" t="str">
        <f t="shared" ca="1" si="907"/>
        <v>01:00</v>
      </c>
      <c r="J184" s="27" t="str">
        <f t="shared" ca="1" si="907"/>
        <v>01:00</v>
      </c>
      <c r="K184" s="27" t="str">
        <f t="shared" ca="1" si="907"/>
        <v>01:00</v>
      </c>
      <c r="L184" s="27" t="str">
        <f t="shared" si="907"/>
        <v xml:space="preserve"> </v>
      </c>
      <c r="M184" s="27" t="str">
        <f t="shared" ca="1" si="907"/>
        <v>01:00</v>
      </c>
      <c r="N184" s="27" t="str">
        <f t="shared" ca="1" si="907"/>
        <v>01:00</v>
      </c>
      <c r="O184" s="27" t="str">
        <f t="shared" ca="1" si="907"/>
        <v>01:00</v>
      </c>
      <c r="P184" s="27" t="str">
        <f t="shared" ca="1" si="907"/>
        <v>01:00</v>
      </c>
      <c r="Q184" s="27" t="str">
        <f t="shared" ca="1" si="907"/>
        <v>01:00</v>
      </c>
      <c r="R184" s="27" t="str">
        <f t="shared" ca="1" si="907"/>
        <v>01:00</v>
      </c>
      <c r="S184" s="27" t="str">
        <f t="shared" si="907"/>
        <v xml:space="preserve"> </v>
      </c>
      <c r="T184" s="27" t="str">
        <f t="shared" ca="1" si="907"/>
        <v>01:00</v>
      </c>
      <c r="U184" s="27" t="str">
        <f t="shared" ca="1" si="907"/>
        <v>01:00</v>
      </c>
      <c r="V184" s="27" t="str">
        <f t="shared" ca="1" si="907"/>
        <v>01:00</v>
      </c>
      <c r="W184" s="27" t="str">
        <f t="shared" ca="1" si="907"/>
        <v>01:00</v>
      </c>
      <c r="X184" s="27" t="str">
        <f t="shared" ca="1" si="907"/>
        <v>01:00</v>
      </c>
      <c r="Y184" s="27" t="str">
        <f t="shared" ca="1" si="907"/>
        <v>01:00</v>
      </c>
      <c r="Z184" s="27" t="str">
        <f t="shared" si="907"/>
        <v xml:space="preserve"> </v>
      </c>
      <c r="AA184" s="27" t="str">
        <f t="shared" ca="1" si="907"/>
        <v>01:00</v>
      </c>
      <c r="AB184" s="27" t="str">
        <f t="shared" ca="1" si="907"/>
        <v>01:00</v>
      </c>
      <c r="AC184" s="27" t="str">
        <f t="shared" ca="1" si="907"/>
        <v>01:00</v>
      </c>
      <c r="AD184" s="27" t="str">
        <f t="shared" ca="1" si="907"/>
        <v>01:00</v>
      </c>
      <c r="AE184" s="27" t="str">
        <f t="shared" ca="1" si="907"/>
        <v>01:00</v>
      </c>
      <c r="AF184" s="27" t="str">
        <f t="shared" ca="1" si="907"/>
        <v>01:00</v>
      </c>
      <c r="AG184" s="27" t="str">
        <f t="shared" si="907"/>
        <v xml:space="preserve"> </v>
      </c>
      <c r="AH184" s="27" t="str">
        <f t="shared" ca="1" si="907"/>
        <v>01:00</v>
      </c>
      <c r="AI184" s="27" t="str">
        <f t="shared" ca="1" si="907"/>
        <v>01:00</v>
      </c>
      <c r="AJ184" s="24" t="s">
        <v>11</v>
      </c>
      <c r="AK184" s="25"/>
      <c r="AL184" s="25"/>
      <c r="AM184" s="25"/>
      <c r="AN184" s="25"/>
      <c r="AO184" s="23" t="s">
        <v>22</v>
      </c>
    </row>
    <row r="185" spans="1:41" ht="15" x14ac:dyDescent="0.3">
      <c r="A185" s="26"/>
      <c r="B185" s="1" t="s">
        <v>22</v>
      </c>
      <c r="C185" s="48" t="s">
        <v>22</v>
      </c>
      <c r="D185" s="45" t="s">
        <v>11</v>
      </c>
      <c r="E185" s="27" t="str">
        <f t="shared" ref="E185:AI194" si="908">IF(E179="P",E182-E184," ")</f>
        <v xml:space="preserve"> </v>
      </c>
      <c r="F185" s="27">
        <f t="shared" ca="1" si="908"/>
        <v>0.29236111111111113</v>
      </c>
      <c r="G185" s="27">
        <f t="shared" ca="1" si="908"/>
        <v>0.32013888888888881</v>
      </c>
      <c r="H185" s="27">
        <f t="shared" ca="1" si="908"/>
        <v>0.3</v>
      </c>
      <c r="I185" s="27">
        <f t="shared" ca="1" si="908"/>
        <v>0.30138888888888887</v>
      </c>
      <c r="J185" s="27">
        <f t="shared" ca="1" si="908"/>
        <v>0.30555555555555552</v>
      </c>
      <c r="K185" s="27">
        <f t="shared" ca="1" si="908"/>
        <v>0.29791666666666666</v>
      </c>
      <c r="L185" s="27" t="str">
        <f t="shared" si="908"/>
        <v xml:space="preserve"> </v>
      </c>
      <c r="M185" s="27">
        <f t="shared" ca="1" si="908"/>
        <v>0.30277777777777776</v>
      </c>
      <c r="N185" s="27">
        <f t="shared" ca="1" si="908"/>
        <v>0.29583333333333334</v>
      </c>
      <c r="O185" s="27">
        <f t="shared" ca="1" si="908"/>
        <v>0.3118055555555555</v>
      </c>
      <c r="P185" s="27">
        <f t="shared" ca="1" si="908"/>
        <v>0.31249999999999994</v>
      </c>
      <c r="Q185" s="27">
        <f t="shared" ca="1" si="908"/>
        <v>0.29791666666666666</v>
      </c>
      <c r="R185" s="27">
        <f t="shared" ca="1" si="908"/>
        <v>0.3166666666666666</v>
      </c>
      <c r="S185" s="27" t="str">
        <f t="shared" si="908"/>
        <v xml:space="preserve"> </v>
      </c>
      <c r="T185" s="27">
        <f t="shared" ca="1" si="908"/>
        <v>0.30486111111111108</v>
      </c>
      <c r="U185" s="27">
        <f t="shared" ca="1" si="908"/>
        <v>0.31597222222222215</v>
      </c>
      <c r="V185" s="27">
        <f t="shared" ca="1" si="908"/>
        <v>0.29652777777777778</v>
      </c>
      <c r="W185" s="27">
        <f t="shared" ca="1" si="908"/>
        <v>0.30277777777777776</v>
      </c>
      <c r="X185" s="27">
        <f t="shared" ca="1" si="908"/>
        <v>0.31874999999999992</v>
      </c>
      <c r="Y185" s="27">
        <f t="shared" ca="1" si="908"/>
        <v>0.29930555555555555</v>
      </c>
      <c r="Z185" s="27" t="str">
        <f t="shared" si="908"/>
        <v xml:space="preserve"> </v>
      </c>
      <c r="AA185" s="27">
        <f t="shared" ca="1" si="908"/>
        <v>0.3118055555555555</v>
      </c>
      <c r="AB185" s="27">
        <f t="shared" ca="1" si="908"/>
        <v>0.30972222222222218</v>
      </c>
      <c r="AC185" s="27">
        <f t="shared" ca="1" si="908"/>
        <v>0.3166666666666666</v>
      </c>
      <c r="AD185" s="27">
        <f t="shared" ca="1" si="908"/>
        <v>0.31736111111111104</v>
      </c>
      <c r="AE185" s="27">
        <f t="shared" ca="1" si="908"/>
        <v>0.30902777777777773</v>
      </c>
      <c r="AF185" s="27">
        <f t="shared" ca="1" si="908"/>
        <v>0.30555555555555552</v>
      </c>
      <c r="AG185" s="27" t="str">
        <f t="shared" si="908"/>
        <v xml:space="preserve"> </v>
      </c>
      <c r="AH185" s="27">
        <f t="shared" ca="1" si="908"/>
        <v>0.3034722222222222</v>
      </c>
      <c r="AI185" s="27">
        <f t="shared" ca="1" si="908"/>
        <v>0.29375000000000001</v>
      </c>
      <c r="AJ185" s="30">
        <f t="shared" ref="AJ185:AJ186" ca="1" si="909">SUM(E185:AH185)</f>
        <v>7.6666666666666652</v>
      </c>
      <c r="AK185" s="25"/>
      <c r="AL185" s="25"/>
      <c r="AM185" s="25"/>
      <c r="AN185" s="25"/>
      <c r="AO185" s="23" t="s">
        <v>22</v>
      </c>
    </row>
    <row r="186" spans="1:41" ht="15.6" thickBot="1" x14ac:dyDescent="0.35">
      <c r="A186" s="31"/>
      <c r="B186" s="32" t="s">
        <v>22</v>
      </c>
      <c r="C186" s="49" t="s">
        <v>22</v>
      </c>
      <c r="D186" s="46" t="s">
        <v>20</v>
      </c>
      <c r="E186" s="33" t="str">
        <f t="shared" ref="E186:AI195" si="910">IF(E179="P",(IF(E183&gt;E185,0,E185-E183))," ")</f>
        <v xml:space="preserve"> </v>
      </c>
      <c r="F186" s="33">
        <f t="shared" ca="1" si="910"/>
        <v>0</v>
      </c>
      <c r="G186" s="33">
        <f t="shared" ca="1" si="910"/>
        <v>0</v>
      </c>
      <c r="H186" s="33">
        <f t="shared" ca="1" si="910"/>
        <v>0</v>
      </c>
      <c r="I186" s="33">
        <f t="shared" ca="1" si="910"/>
        <v>0</v>
      </c>
      <c r="J186" s="33">
        <f t="shared" ca="1" si="910"/>
        <v>0</v>
      </c>
      <c r="K186" s="33">
        <f t="shared" ca="1" si="910"/>
        <v>0</v>
      </c>
      <c r="L186" s="33" t="str">
        <f t="shared" si="910"/>
        <v xml:space="preserve"> </v>
      </c>
      <c r="M186" s="33">
        <f t="shared" ca="1" si="910"/>
        <v>0</v>
      </c>
      <c r="N186" s="33">
        <f t="shared" ca="1" si="910"/>
        <v>0</v>
      </c>
      <c r="O186" s="33">
        <f t="shared" ca="1" si="910"/>
        <v>0</v>
      </c>
      <c r="P186" s="33">
        <f t="shared" ca="1" si="910"/>
        <v>0</v>
      </c>
      <c r="Q186" s="33">
        <f t="shared" ca="1" si="910"/>
        <v>0</v>
      </c>
      <c r="R186" s="33">
        <f t="shared" ca="1" si="910"/>
        <v>0</v>
      </c>
      <c r="S186" s="33" t="str">
        <f t="shared" si="910"/>
        <v xml:space="preserve"> </v>
      </c>
      <c r="T186" s="33">
        <f t="shared" ca="1" si="910"/>
        <v>0</v>
      </c>
      <c r="U186" s="33">
        <f t="shared" ca="1" si="910"/>
        <v>0</v>
      </c>
      <c r="V186" s="33">
        <f t="shared" ca="1" si="910"/>
        <v>0</v>
      </c>
      <c r="W186" s="33">
        <f t="shared" ca="1" si="910"/>
        <v>0</v>
      </c>
      <c r="X186" s="33">
        <f t="shared" ca="1" si="910"/>
        <v>0</v>
      </c>
      <c r="Y186" s="33">
        <f t="shared" ca="1" si="910"/>
        <v>0</v>
      </c>
      <c r="Z186" s="33" t="str">
        <f t="shared" si="910"/>
        <v xml:space="preserve"> </v>
      </c>
      <c r="AA186" s="33">
        <f t="shared" ca="1" si="910"/>
        <v>0</v>
      </c>
      <c r="AB186" s="33">
        <f t="shared" ca="1" si="910"/>
        <v>0</v>
      </c>
      <c r="AC186" s="33">
        <f t="shared" ca="1" si="910"/>
        <v>0</v>
      </c>
      <c r="AD186" s="33">
        <f t="shared" ca="1" si="910"/>
        <v>0</v>
      </c>
      <c r="AE186" s="33">
        <f t="shared" ca="1" si="910"/>
        <v>0</v>
      </c>
      <c r="AF186" s="33">
        <f t="shared" ca="1" si="910"/>
        <v>0</v>
      </c>
      <c r="AG186" s="33" t="str">
        <f t="shared" si="910"/>
        <v xml:space="preserve"> </v>
      </c>
      <c r="AH186" s="33">
        <f t="shared" ca="1" si="910"/>
        <v>0</v>
      </c>
      <c r="AI186" s="33">
        <f t="shared" ca="1" si="910"/>
        <v>0</v>
      </c>
      <c r="AJ186" s="34">
        <f t="shared" ca="1" si="909"/>
        <v>0</v>
      </c>
      <c r="AK186" s="35"/>
      <c r="AL186" s="35"/>
      <c r="AM186" s="35"/>
      <c r="AN186" s="35"/>
      <c r="AO186" s="36" t="s">
        <v>22</v>
      </c>
    </row>
    <row r="187" spans="1:41" ht="15.6" thickBot="1" x14ac:dyDescent="0.35">
      <c r="A187" s="14"/>
      <c r="B187" s="15" t="s">
        <v>22</v>
      </c>
      <c r="C187" s="47" t="s">
        <v>22</v>
      </c>
      <c r="D187" s="37" t="s">
        <v>66</v>
      </c>
      <c r="E187" s="9">
        <f t="shared" ref="E187:T187" ca="1" si="911">IF(OR(E$5="",E$5=0),-2,IF(E$6=$D188,-1,RAND()))</f>
        <v>0.44363045394321587</v>
      </c>
      <c r="F187" s="9">
        <f t="shared" ca="1" si="911"/>
        <v>0.9830710414521614</v>
      </c>
      <c r="G187" s="9">
        <f t="shared" ca="1" si="911"/>
        <v>0.53385229716635185</v>
      </c>
      <c r="H187" s="9">
        <f t="shared" ca="1" si="911"/>
        <v>0.37561471111056222</v>
      </c>
      <c r="I187" s="9">
        <f t="shared" ca="1" si="911"/>
        <v>0.98059344590036746</v>
      </c>
      <c r="J187" s="9">
        <f t="shared" ca="1" si="911"/>
        <v>-1</v>
      </c>
      <c r="K187" s="9">
        <f t="shared" ca="1" si="911"/>
        <v>0.38917799816544485</v>
      </c>
      <c r="L187" s="9">
        <f t="shared" ca="1" si="911"/>
        <v>0.13168549120338191</v>
      </c>
      <c r="M187" s="9">
        <f t="shared" ca="1" si="911"/>
        <v>0.5496450954688219</v>
      </c>
      <c r="N187" s="9">
        <f t="shared" ca="1" si="911"/>
        <v>0.29318428831127674</v>
      </c>
      <c r="O187" s="9">
        <f t="shared" ca="1" si="911"/>
        <v>0.76626717833563651</v>
      </c>
      <c r="P187" s="9">
        <f t="shared" ca="1" si="911"/>
        <v>0.27811518589237694</v>
      </c>
      <c r="Q187" s="9">
        <f t="shared" ca="1" si="911"/>
        <v>-1</v>
      </c>
      <c r="R187" s="9">
        <f t="shared" ca="1" si="911"/>
        <v>0.97474449595453039</v>
      </c>
      <c r="S187" s="9">
        <f t="shared" ca="1" si="911"/>
        <v>0.11242681302083013</v>
      </c>
      <c r="T187" s="9">
        <f t="shared" ca="1" si="911"/>
        <v>0.81856367339336034</v>
      </c>
      <c r="U187" s="9">
        <f t="shared" ref="U187:AI187" ca="1" si="912">IF(OR(U$5="",U$5=0),-2,IF(U$6=$D188,-1,RAND()))</f>
        <v>0.90010072358547755</v>
      </c>
      <c r="V187" s="9">
        <f t="shared" ca="1" si="912"/>
        <v>0.11560870836310999</v>
      </c>
      <c r="W187" s="9">
        <f t="shared" ca="1" si="912"/>
        <v>0.72348685430724158</v>
      </c>
      <c r="X187" s="9">
        <f t="shared" ca="1" si="912"/>
        <v>-1</v>
      </c>
      <c r="Y187" s="9">
        <f t="shared" ca="1" si="912"/>
        <v>0.51256638732099691</v>
      </c>
      <c r="Z187" s="9">
        <f t="shared" ca="1" si="912"/>
        <v>0.65389352823259961</v>
      </c>
      <c r="AA187" s="9">
        <f t="shared" ca="1" si="912"/>
        <v>0.2179611836250489</v>
      </c>
      <c r="AB187" s="9">
        <f t="shared" ca="1" si="912"/>
        <v>0.32152715974457591</v>
      </c>
      <c r="AC187" s="9">
        <f t="shared" ca="1" si="912"/>
        <v>0.23155296433406847</v>
      </c>
      <c r="AD187" s="9">
        <f t="shared" ca="1" si="912"/>
        <v>1.5640491052554384E-2</v>
      </c>
      <c r="AE187" s="9">
        <f t="shared" ca="1" si="912"/>
        <v>-1</v>
      </c>
      <c r="AF187" s="9">
        <f t="shared" ca="1" si="912"/>
        <v>0.12101838274469645</v>
      </c>
      <c r="AG187" s="9">
        <f t="shared" ca="1" si="912"/>
        <v>0.39107944876618572</v>
      </c>
      <c r="AH187" s="9">
        <f t="shared" ca="1" si="912"/>
        <v>0.23881149177266481</v>
      </c>
      <c r="AI187" s="9">
        <f t="shared" ca="1" si="912"/>
        <v>0.46482511067709531</v>
      </c>
      <c r="AJ187" s="38"/>
      <c r="AK187" s="37"/>
      <c r="AL187" s="37"/>
      <c r="AM187" s="37"/>
      <c r="AN187" s="37"/>
      <c r="AO187" s="39" t="s">
        <v>22</v>
      </c>
    </row>
    <row r="188" spans="1:41" ht="15.6" thickBot="1" x14ac:dyDescent="0.35">
      <c r="A188" s="42"/>
      <c r="B188" s="44" t="s">
        <v>42</v>
      </c>
      <c r="C188" s="43" t="s">
        <v>64</v>
      </c>
      <c r="D188" s="37" t="s">
        <v>73</v>
      </c>
      <c r="E188" s="9" t="str">
        <f t="shared" ref="E188" ca="1" si="913">IF(OR(E$5="",E$5=0),"",IF(E$6=$D188,"W",IF(_xlfn.RANK.EQ(E187,$E187:$AI187,0)&lt;=INT($AO188),"P",IF(AND(_xlfn.RANK.EQ(E187,$E187:$AI187,0)=INT($AO188)+1,MOD($AO188,1)=0.5),"H","A"))))</f>
        <v>A</v>
      </c>
      <c r="F188" s="9" t="str">
        <f t="shared" ref="F188" ca="1" si="914">IF(OR(F$5="",F$5=0),"",IF(F$6=$D188,"W",IF(_xlfn.RANK.EQ(F187,$E187:$AI187,0)&lt;=INT($AO188),"P",IF(AND(_xlfn.RANK.EQ(F187,$E187:$AI187,0)=INT($AO188)+1,MOD($AO188,1)=0.5),"H","A"))))</f>
        <v>P</v>
      </c>
      <c r="G188" s="9" t="str">
        <f t="shared" ref="G188" ca="1" si="915">IF(OR(G$5="",G$5=0),"",IF(G$6=$D188,"W",IF(_xlfn.RANK.EQ(G187,$E187:$AI187,0)&lt;=INT($AO188),"P",IF(AND(_xlfn.RANK.EQ(G187,$E187:$AI187,0)=INT($AO188)+1,MOD($AO188,1)=0.5),"H","A"))))</f>
        <v>P</v>
      </c>
      <c r="H188" s="9" t="str">
        <f t="shared" ref="H188" ca="1" si="916">IF(OR(H$5="",H$5=0),"",IF(H$6=$D188,"W",IF(_xlfn.RANK.EQ(H187,$E187:$AI187,0)&lt;=INT($AO188),"P",IF(AND(_xlfn.RANK.EQ(H187,$E187:$AI187,0)=INT($AO188)+1,MOD($AO188,1)=0.5),"H","A"))))</f>
        <v>A</v>
      </c>
      <c r="I188" s="9" t="str">
        <f t="shared" ref="I188" ca="1" si="917">IF(OR(I$5="",I$5=0),"",IF(I$6=$D188,"W",IF(_xlfn.RANK.EQ(I187,$E187:$AI187,0)&lt;=INT($AO188),"P",IF(AND(_xlfn.RANK.EQ(I187,$E187:$AI187,0)=INT($AO188)+1,MOD($AO188,1)=0.5),"H","A"))))</f>
        <v>P</v>
      </c>
      <c r="J188" s="9" t="str">
        <f t="shared" ref="J188" si="918">IF(OR(J$5="",J$5=0),"",IF(J$6=$D188,"W",IF(_xlfn.RANK.EQ(J187,$E187:$AI187,0)&lt;=INT($AO188),"P",IF(AND(_xlfn.RANK.EQ(J187,$E187:$AI187,0)=INT($AO188)+1,MOD($AO188,1)=0.5),"H","A"))))</f>
        <v>W</v>
      </c>
      <c r="K188" s="9" t="str">
        <f t="shared" ref="K188" ca="1" si="919">IF(OR(K$5="",K$5=0),"",IF(K$6=$D188,"W",IF(_xlfn.RANK.EQ(K187,$E187:$AI187,0)&lt;=INT($AO188),"P",IF(AND(_xlfn.RANK.EQ(K187,$E187:$AI187,0)=INT($AO188)+1,MOD($AO188,1)=0.5),"H","A"))))</f>
        <v>A</v>
      </c>
      <c r="L188" s="9" t="str">
        <f t="shared" ref="L188" ca="1" si="920">IF(OR(L$5="",L$5=0),"",IF(L$6=$D188,"W",IF(_xlfn.RANK.EQ(L187,$E187:$AI187,0)&lt;=INT($AO188),"P",IF(AND(_xlfn.RANK.EQ(L187,$E187:$AI187,0)=INT($AO188)+1,MOD($AO188,1)=0.5),"H","A"))))</f>
        <v>A</v>
      </c>
      <c r="M188" s="9" t="str">
        <f t="shared" ref="M188" ca="1" si="921">IF(OR(M$5="",M$5=0),"",IF(M$6=$D188,"W",IF(_xlfn.RANK.EQ(M187,$E187:$AI187,0)&lt;=INT($AO188),"P",IF(AND(_xlfn.RANK.EQ(M187,$E187:$AI187,0)=INT($AO188)+1,MOD($AO188,1)=0.5),"H","A"))))</f>
        <v>P</v>
      </c>
      <c r="N188" s="9" t="str">
        <f t="shared" ref="N188" ca="1" si="922">IF(OR(N$5="",N$5=0),"",IF(N$6=$D188,"W",IF(_xlfn.RANK.EQ(N187,$E187:$AI187,0)&lt;=INT($AO188),"P",IF(AND(_xlfn.RANK.EQ(N187,$E187:$AI187,0)=INT($AO188)+1,MOD($AO188,1)=0.5),"H","A"))))</f>
        <v>A</v>
      </c>
      <c r="O188" s="9" t="str">
        <f t="shared" ref="O188" ca="1" si="923">IF(OR(O$5="",O$5=0),"",IF(O$6=$D188,"W",IF(_xlfn.RANK.EQ(O187,$E187:$AI187,0)&lt;=INT($AO188),"P",IF(AND(_xlfn.RANK.EQ(O187,$E187:$AI187,0)=INT($AO188)+1,MOD($AO188,1)=0.5),"H","A"))))</f>
        <v>P</v>
      </c>
      <c r="P188" s="9" t="str">
        <f t="shared" ref="P188" ca="1" si="924">IF(OR(P$5="",P$5=0),"",IF(P$6=$D188,"W",IF(_xlfn.RANK.EQ(P187,$E187:$AI187,0)&lt;=INT($AO188),"P",IF(AND(_xlfn.RANK.EQ(P187,$E187:$AI187,0)=INT($AO188)+1,MOD($AO188,1)=0.5),"H","A"))))</f>
        <v>A</v>
      </c>
      <c r="Q188" s="9" t="str">
        <f t="shared" ref="Q188" si="925">IF(OR(Q$5="",Q$5=0),"",IF(Q$6=$D188,"W",IF(_xlfn.RANK.EQ(Q187,$E187:$AI187,0)&lt;=INT($AO188),"P",IF(AND(_xlfn.RANK.EQ(Q187,$E187:$AI187,0)=INT($AO188)+1,MOD($AO188,1)=0.5),"H","A"))))</f>
        <v>W</v>
      </c>
      <c r="R188" s="9" t="str">
        <f t="shared" ref="R188" ca="1" si="926">IF(OR(R$5="",R$5=0),"",IF(R$6=$D188,"W",IF(_xlfn.RANK.EQ(R187,$E187:$AI187,0)&lt;=INT($AO188),"P",IF(AND(_xlfn.RANK.EQ(R187,$E187:$AI187,0)=INT($AO188)+1,MOD($AO188,1)=0.5),"H","A"))))</f>
        <v>P</v>
      </c>
      <c r="S188" s="9" t="str">
        <f t="shared" ref="S188" ca="1" si="927">IF(OR(S$5="",S$5=0),"",IF(S$6=$D188,"W",IF(_xlfn.RANK.EQ(S187,$E187:$AI187,0)&lt;=INT($AO188),"P",IF(AND(_xlfn.RANK.EQ(S187,$E187:$AI187,0)=INT($AO188)+1,MOD($AO188,1)=0.5),"H","A"))))</f>
        <v>A</v>
      </c>
      <c r="T188" s="9" t="str">
        <f t="shared" ref="T188" ca="1" si="928">IF(OR(T$5="",T$5=0),"",IF(T$6=$D188,"W",IF(_xlfn.RANK.EQ(T187,$E187:$AI187,0)&lt;=INT($AO188),"P",IF(AND(_xlfn.RANK.EQ(T187,$E187:$AI187,0)=INT($AO188)+1,MOD($AO188,1)=0.5),"H","A"))))</f>
        <v>P</v>
      </c>
      <c r="U188" s="9" t="str">
        <f t="shared" ref="U188" ca="1" si="929">IF(OR(U$5="",U$5=0),"",IF(U$6=$D188,"W",IF(_xlfn.RANK.EQ(U187,$E187:$AI187,0)&lt;=INT($AO188),"P",IF(AND(_xlfn.RANK.EQ(U187,$E187:$AI187,0)=INT($AO188)+1,MOD($AO188,1)=0.5),"H","A"))))</f>
        <v>P</v>
      </c>
      <c r="V188" s="9" t="str">
        <f t="shared" ref="V188" ca="1" si="930">IF(OR(V$5="",V$5=0),"",IF(V$6=$D188,"W",IF(_xlfn.RANK.EQ(V187,$E187:$AI187,0)&lt;=INT($AO188),"P",IF(AND(_xlfn.RANK.EQ(V187,$E187:$AI187,0)=INT($AO188)+1,MOD($AO188,1)=0.5),"H","A"))))</f>
        <v>A</v>
      </c>
      <c r="W188" s="9" t="str">
        <f t="shared" ref="W188" ca="1" si="931">IF(OR(W$5="",W$5=0),"",IF(W$6=$D188,"W",IF(_xlfn.RANK.EQ(W187,$E187:$AI187,0)&lt;=INT($AO188),"P",IF(AND(_xlfn.RANK.EQ(W187,$E187:$AI187,0)=INT($AO188)+1,MOD($AO188,1)=0.5),"H","A"))))</f>
        <v>P</v>
      </c>
      <c r="X188" s="9" t="str">
        <f t="shared" ref="X188" si="932">IF(OR(X$5="",X$5=0),"",IF(X$6=$D188,"W",IF(_xlfn.RANK.EQ(X187,$E187:$AI187,0)&lt;=INT($AO188),"P",IF(AND(_xlfn.RANK.EQ(X187,$E187:$AI187,0)=INT($AO188)+1,MOD($AO188,1)=0.5),"H","A"))))</f>
        <v>W</v>
      </c>
      <c r="Y188" s="9" t="str">
        <f t="shared" ref="Y188" ca="1" si="933">IF(OR(Y$5="",Y$5=0),"",IF(Y$6=$D188,"W",IF(_xlfn.RANK.EQ(Y187,$E187:$AI187,0)&lt;=INT($AO188),"P",IF(AND(_xlfn.RANK.EQ(Y187,$E187:$AI187,0)=INT($AO188)+1,MOD($AO188,1)=0.5),"H","A"))))</f>
        <v>P</v>
      </c>
      <c r="Z188" s="9" t="str">
        <f t="shared" ref="Z188" ca="1" si="934">IF(OR(Z$5="",Z$5=0),"",IF(Z$6=$D188,"W",IF(_xlfn.RANK.EQ(Z187,$E187:$AI187,0)&lt;=INT($AO188),"P",IF(AND(_xlfn.RANK.EQ(Z187,$E187:$AI187,0)=INT($AO188)+1,MOD($AO188,1)=0.5),"H","A"))))</f>
        <v>P</v>
      </c>
      <c r="AA188" s="9" t="str">
        <f t="shared" ref="AA188" ca="1" si="935">IF(OR(AA$5="",AA$5=0),"",IF(AA$6=$D188,"W",IF(_xlfn.RANK.EQ(AA187,$E187:$AI187,0)&lt;=INT($AO188),"P",IF(AND(_xlfn.RANK.EQ(AA187,$E187:$AI187,0)=INT($AO188)+1,MOD($AO188,1)=0.5),"H","A"))))</f>
        <v>A</v>
      </c>
      <c r="AB188" s="9" t="str">
        <f t="shared" ref="AB188" ca="1" si="936">IF(OR(AB$5="",AB$5=0),"",IF(AB$6=$D188,"W",IF(_xlfn.RANK.EQ(AB187,$E187:$AI187,0)&lt;=INT($AO188),"P",IF(AND(_xlfn.RANK.EQ(AB187,$E187:$AI187,0)=INT($AO188)+1,MOD($AO188,1)=0.5),"H","A"))))</f>
        <v>A</v>
      </c>
      <c r="AC188" s="9" t="str">
        <f t="shared" ref="AC188" ca="1" si="937">IF(OR(AC$5="",AC$5=0),"",IF(AC$6=$D188,"W",IF(_xlfn.RANK.EQ(AC187,$E187:$AI187,0)&lt;=INT($AO188),"P",IF(AND(_xlfn.RANK.EQ(AC187,$E187:$AI187,0)=INT($AO188)+1,MOD($AO188,1)=0.5),"H","A"))))</f>
        <v>A</v>
      </c>
      <c r="AD188" s="9" t="str">
        <f t="shared" ref="AD188" ca="1" si="938">IF(OR(AD$5="",AD$5=0),"",IF(AD$6=$D188,"W",IF(_xlfn.RANK.EQ(AD187,$E187:$AI187,0)&lt;=INT($AO188),"P",IF(AND(_xlfn.RANK.EQ(AD187,$E187:$AI187,0)=INT($AO188)+1,MOD($AO188,1)=0.5),"H","A"))))</f>
        <v>A</v>
      </c>
      <c r="AE188" s="9" t="str">
        <f t="shared" ref="AE188" si="939">IF(OR(AE$5="",AE$5=0),"",IF(AE$6=$D188,"W",IF(_xlfn.RANK.EQ(AE187,$E187:$AI187,0)&lt;=INT($AO188),"P",IF(AND(_xlfn.RANK.EQ(AE187,$E187:$AI187,0)=INT($AO188)+1,MOD($AO188,1)=0.5),"H","A"))))</f>
        <v>W</v>
      </c>
      <c r="AF188" s="9" t="str">
        <f t="shared" ref="AF188" ca="1" si="940">IF(OR(AF$5="",AF$5=0),"",IF(AF$6=$D188,"W",IF(_xlfn.RANK.EQ(AF187,$E187:$AI187,0)&lt;=INT($AO188),"P",IF(AND(_xlfn.RANK.EQ(AF187,$E187:$AI187,0)=INT($AO188)+1,MOD($AO188,1)=0.5),"H","A"))))</f>
        <v>A</v>
      </c>
      <c r="AG188" s="9" t="str">
        <f t="shared" ref="AG188" ca="1" si="941">IF(OR(AG$5="",AG$5=0),"",IF(AG$6=$D188,"W",IF(_xlfn.RANK.EQ(AG187,$E187:$AI187,0)&lt;=INT($AO188),"P",IF(AND(_xlfn.RANK.EQ(AG187,$E187:$AI187,0)=INT($AO188)+1,MOD($AO188,1)=0.5),"H","A"))))</f>
        <v>A</v>
      </c>
      <c r="AH188" s="9" t="str">
        <f t="shared" ref="AH188" ca="1" si="942">IF(OR(AH$5="",AH$5=0),"",IF(AH$6=$D188,"W",IF(_xlfn.RANK.EQ(AH187,$E187:$AI187,0)&lt;=INT($AO188),"P",IF(AND(_xlfn.RANK.EQ(AH187,$E187:$AI187,0)=INT($AO188)+1,MOD($AO188,1)=0.5),"H","A"))))</f>
        <v>A</v>
      </c>
      <c r="AI188" s="9" t="str">
        <f t="shared" ref="AI188" ca="1" si="943">IF(OR(AI$5="",AI$5=0),"",IF(AI$6=$D188,"W",IF(_xlfn.RANK.EQ(AI187,$E187:$AI187,0)&lt;=INT($AO188),"P",IF(AND(_xlfn.RANK.EQ(AI187,$E187:$AI187,0)=INT($AO188)+1,MOD($AO188,1)=0.5),"H","A"))))</f>
        <v>P</v>
      </c>
      <c r="AJ188" s="16">
        <f t="shared" ref="AJ188" ca="1" si="944">COUNTIF(E188:AI188, "P")</f>
        <v>12</v>
      </c>
      <c r="AK188" s="17">
        <f t="shared" ref="AK188" ca="1" si="945">COUNTIF(E188:AH188, "A")</f>
        <v>15</v>
      </c>
      <c r="AL188" s="17">
        <f t="shared" ref="AL188" ca="1" si="946">COUNTIF(E188:AH188, "W")</f>
        <v>4</v>
      </c>
      <c r="AM188" s="17">
        <f t="shared" ref="AM188" ca="1" si="947">COUNTIF(E188:AH188, "H")</f>
        <v>0</v>
      </c>
      <c r="AN188" s="17">
        <f t="shared" ref="AN188" ca="1" si="948">COUNTIF(E188:AH188, "PL")</f>
        <v>0</v>
      </c>
      <c r="AO188" s="18">
        <v>12</v>
      </c>
    </row>
    <row r="189" spans="1:41" ht="15" x14ac:dyDescent="0.3">
      <c r="A189" s="19"/>
      <c r="B189" s="1" t="s">
        <v>22</v>
      </c>
      <c r="C189" s="48" t="s">
        <v>22</v>
      </c>
      <c r="D189" s="45" t="s">
        <v>1</v>
      </c>
      <c r="E189" s="20" t="str">
        <f t="shared" ref="E189:AH189" ca="1" si="949">IF(E188="P", IF($D187="G", TEXT(RAND()*(9.27-9.62)/24+9.62/24,"HH:MM"), IF($D187="A", TEXT(RAND()*(8.06-8.1)/24+8.15/24,"HH:MM"), IF($D187="B", TEXT(RAND()*(16.06-16.1)/24+16.15/24,"HH:MM"), IF($D187="C", TEXT(RAND()*(24.85-24.13)/24+24.13/24,"HH:MM"), " ")))), "")</f>
        <v/>
      </c>
      <c r="F189" s="20" t="str">
        <f t="shared" ca="1" si="949"/>
        <v>00:37</v>
      </c>
      <c r="G189" s="20" t="str">
        <f t="shared" ca="1" si="949"/>
        <v>00:42</v>
      </c>
      <c r="H189" s="20" t="str">
        <f t="shared" ca="1" si="949"/>
        <v/>
      </c>
      <c r="I189" s="20" t="str">
        <f t="shared" ca="1" si="949"/>
        <v>00:47</v>
      </c>
      <c r="J189" s="20" t="str">
        <f t="shared" ca="1" si="949"/>
        <v/>
      </c>
      <c r="K189" s="20" t="str">
        <f t="shared" ca="1" si="949"/>
        <v/>
      </c>
      <c r="L189" s="20" t="str">
        <f t="shared" ca="1" si="949"/>
        <v/>
      </c>
      <c r="M189" s="20" t="str">
        <f t="shared" ca="1" si="949"/>
        <v>00:34</v>
      </c>
      <c r="N189" s="20" t="str">
        <f t="shared" ca="1" si="949"/>
        <v/>
      </c>
      <c r="O189" s="20" t="str">
        <f t="shared" ca="1" si="949"/>
        <v>00:42</v>
      </c>
      <c r="P189" s="20" t="str">
        <f t="shared" ca="1" si="949"/>
        <v/>
      </c>
      <c r="Q189" s="20" t="str">
        <f t="shared" ca="1" si="949"/>
        <v/>
      </c>
      <c r="R189" s="20" t="str">
        <f t="shared" ca="1" si="949"/>
        <v>00:40</v>
      </c>
      <c r="S189" s="20" t="str">
        <f t="shared" ca="1" si="949"/>
        <v/>
      </c>
      <c r="T189" s="20" t="str">
        <f t="shared" ca="1" si="949"/>
        <v>00:10</v>
      </c>
      <c r="U189" s="20" t="str">
        <f t="shared" ca="1" si="949"/>
        <v>00:18</v>
      </c>
      <c r="V189" s="20" t="str">
        <f t="shared" ca="1" si="949"/>
        <v/>
      </c>
      <c r="W189" s="20" t="str">
        <f t="shared" ca="1" si="949"/>
        <v>00:08</v>
      </c>
      <c r="X189" s="20" t="str">
        <f t="shared" ca="1" si="949"/>
        <v/>
      </c>
      <c r="Y189" s="20" t="str">
        <f t="shared" ca="1" si="949"/>
        <v>00:49</v>
      </c>
      <c r="Z189" s="20" t="str">
        <f t="shared" ca="1" si="949"/>
        <v>00:22</v>
      </c>
      <c r="AA189" s="20" t="str">
        <f t="shared" ca="1" si="949"/>
        <v/>
      </c>
      <c r="AB189" s="20" t="str">
        <f t="shared" ca="1" si="949"/>
        <v/>
      </c>
      <c r="AC189" s="20" t="str">
        <f t="shared" ca="1" si="949"/>
        <v/>
      </c>
      <c r="AD189" s="20" t="str">
        <f t="shared" ca="1" si="949"/>
        <v/>
      </c>
      <c r="AE189" s="20" t="str">
        <f t="shared" ca="1" si="949"/>
        <v/>
      </c>
      <c r="AF189" s="20" t="str">
        <f t="shared" ca="1" si="949"/>
        <v/>
      </c>
      <c r="AG189" s="20" t="str">
        <f t="shared" ca="1" si="949"/>
        <v/>
      </c>
      <c r="AH189" s="20" t="str">
        <f t="shared" ca="1" si="949"/>
        <v/>
      </c>
      <c r="AI189" s="20" t="str">
        <f t="shared" ca="1" si="902"/>
        <v>00:40</v>
      </c>
      <c r="AJ189" s="21"/>
      <c r="AK189" s="22"/>
      <c r="AL189" s="22"/>
      <c r="AM189" s="22"/>
      <c r="AN189" s="22"/>
      <c r="AO189" s="23" t="s">
        <v>22</v>
      </c>
    </row>
    <row r="190" spans="1:41" ht="15" x14ac:dyDescent="0.3">
      <c r="A190" s="19"/>
      <c r="B190" s="1" t="s">
        <v>22</v>
      </c>
      <c r="C190" s="48" t="s">
        <v>22</v>
      </c>
      <c r="D190" s="45" t="s">
        <v>2</v>
      </c>
      <c r="E190" s="20" t="str">
        <f t="shared" ref="E190:AH190" ca="1" si="950">IF(E188="P", IF($D187="G", TEXT(RAND()*(18.85-18.13)/24+18.13/24,"HH:MM"), IF($D187="A", TEXT(RAND()*(16.85-16.13)/24+16.13/24,"HH:MM"), IF($D187="B", TEXT(RAND()*(24.85-24.13)/24+24.13/24,"HH:MM"), IF($D187="C", TEXT(RAND()*(8.85-8.13)/24+8.13/24,"HH:MM"), " ")))), "")</f>
        <v/>
      </c>
      <c r="F190" s="20" t="str">
        <f t="shared" ca="1" si="950"/>
        <v>08:42</v>
      </c>
      <c r="G190" s="20" t="str">
        <f t="shared" ca="1" si="950"/>
        <v>08:37</v>
      </c>
      <c r="H190" s="20" t="str">
        <f t="shared" ca="1" si="950"/>
        <v/>
      </c>
      <c r="I190" s="20" t="str">
        <f t="shared" ca="1" si="950"/>
        <v>08:30</v>
      </c>
      <c r="J190" s="20" t="str">
        <f t="shared" ca="1" si="950"/>
        <v/>
      </c>
      <c r="K190" s="20" t="str">
        <f t="shared" ca="1" si="950"/>
        <v/>
      </c>
      <c r="L190" s="20" t="str">
        <f t="shared" ca="1" si="950"/>
        <v/>
      </c>
      <c r="M190" s="20" t="str">
        <f t="shared" ca="1" si="950"/>
        <v>08:10</v>
      </c>
      <c r="N190" s="20" t="str">
        <f t="shared" ca="1" si="950"/>
        <v/>
      </c>
      <c r="O190" s="20" t="str">
        <f t="shared" ca="1" si="950"/>
        <v>08:16</v>
      </c>
      <c r="P190" s="20" t="str">
        <f t="shared" ca="1" si="950"/>
        <v/>
      </c>
      <c r="Q190" s="20" t="str">
        <f t="shared" ca="1" si="950"/>
        <v/>
      </c>
      <c r="R190" s="20" t="str">
        <f t="shared" ca="1" si="950"/>
        <v>08:26</v>
      </c>
      <c r="S190" s="20" t="str">
        <f t="shared" ca="1" si="950"/>
        <v/>
      </c>
      <c r="T190" s="20" t="str">
        <f t="shared" ca="1" si="950"/>
        <v>08:22</v>
      </c>
      <c r="U190" s="20" t="str">
        <f t="shared" ca="1" si="950"/>
        <v>08:49</v>
      </c>
      <c r="V190" s="20" t="str">
        <f t="shared" ca="1" si="950"/>
        <v/>
      </c>
      <c r="W190" s="20" t="str">
        <f t="shared" ca="1" si="950"/>
        <v>08:17</v>
      </c>
      <c r="X190" s="20" t="str">
        <f t="shared" ca="1" si="950"/>
        <v/>
      </c>
      <c r="Y190" s="20" t="str">
        <f t="shared" ca="1" si="950"/>
        <v>08:34</v>
      </c>
      <c r="Z190" s="20" t="str">
        <f t="shared" ca="1" si="950"/>
        <v>08:23</v>
      </c>
      <c r="AA190" s="20" t="str">
        <f t="shared" ca="1" si="950"/>
        <v/>
      </c>
      <c r="AB190" s="20" t="str">
        <f t="shared" ca="1" si="950"/>
        <v/>
      </c>
      <c r="AC190" s="20" t="str">
        <f t="shared" ca="1" si="950"/>
        <v/>
      </c>
      <c r="AD190" s="20" t="str">
        <f t="shared" ca="1" si="950"/>
        <v/>
      </c>
      <c r="AE190" s="20" t="str">
        <f t="shared" ca="1" si="950"/>
        <v/>
      </c>
      <c r="AF190" s="20" t="str">
        <f t="shared" ca="1" si="950"/>
        <v/>
      </c>
      <c r="AG190" s="20" t="str">
        <f t="shared" ca="1" si="950"/>
        <v/>
      </c>
      <c r="AH190" s="20" t="str">
        <f t="shared" ca="1" si="950"/>
        <v/>
      </c>
      <c r="AI190" s="20" t="str">
        <f t="shared" ca="1" si="903"/>
        <v>08:22</v>
      </c>
      <c r="AJ190" s="24" t="s">
        <v>13</v>
      </c>
      <c r="AK190" s="25"/>
      <c r="AL190" s="25"/>
      <c r="AM190" s="25"/>
      <c r="AN190" s="25"/>
      <c r="AO190" s="23" t="s">
        <v>22</v>
      </c>
    </row>
    <row r="191" spans="1:41" ht="15" x14ac:dyDescent="0.3">
      <c r="A191" s="26"/>
      <c r="B191" s="1" t="s">
        <v>22</v>
      </c>
      <c r="C191" s="48" t="s">
        <v>22</v>
      </c>
      <c r="D191" s="45" t="s">
        <v>14</v>
      </c>
      <c r="E191" s="27" t="str">
        <f t="shared" ref="E191:AH191" ca="1" si="951">IF(E188="P", MOD(E190-E189, 1), " ")</f>
        <v xml:space="preserve"> </v>
      </c>
      <c r="F191" s="27">
        <f t="shared" ca="1" si="951"/>
        <v>0.33680555555555552</v>
      </c>
      <c r="G191" s="27">
        <f t="shared" ca="1" si="951"/>
        <v>0.3298611111111111</v>
      </c>
      <c r="H191" s="27" t="str">
        <f t="shared" ca="1" si="951"/>
        <v xml:space="preserve"> </v>
      </c>
      <c r="I191" s="27">
        <f t="shared" ca="1" si="951"/>
        <v>0.3215277777777778</v>
      </c>
      <c r="J191" s="27" t="str">
        <f t="shared" si="951"/>
        <v xml:space="preserve"> </v>
      </c>
      <c r="K191" s="27" t="str">
        <f t="shared" ca="1" si="951"/>
        <v xml:space="preserve"> </v>
      </c>
      <c r="L191" s="27" t="str">
        <f t="shared" ca="1" si="951"/>
        <v xml:space="preserve"> </v>
      </c>
      <c r="M191" s="27">
        <f t="shared" ca="1" si="951"/>
        <v>0.31666666666666665</v>
      </c>
      <c r="N191" s="27" t="str">
        <f t="shared" ca="1" si="951"/>
        <v xml:space="preserve"> </v>
      </c>
      <c r="O191" s="27">
        <f t="shared" ca="1" si="951"/>
        <v>0.31527777777777777</v>
      </c>
      <c r="P191" s="27" t="str">
        <f t="shared" ca="1" si="951"/>
        <v xml:space="preserve"> </v>
      </c>
      <c r="Q191" s="27" t="str">
        <f t="shared" si="951"/>
        <v xml:space="preserve"> </v>
      </c>
      <c r="R191" s="27">
        <f t="shared" ca="1" si="951"/>
        <v>0.32361111111111107</v>
      </c>
      <c r="S191" s="27" t="str">
        <f t="shared" ca="1" si="951"/>
        <v xml:space="preserve"> </v>
      </c>
      <c r="T191" s="27">
        <f t="shared" ca="1" si="951"/>
        <v>0.34166666666666667</v>
      </c>
      <c r="U191" s="27">
        <f t="shared" ca="1" si="951"/>
        <v>0.35486111111111113</v>
      </c>
      <c r="V191" s="27" t="str">
        <f t="shared" ca="1" si="951"/>
        <v xml:space="preserve"> </v>
      </c>
      <c r="W191" s="27">
        <f t="shared" ca="1" si="951"/>
        <v>0.33958333333333335</v>
      </c>
      <c r="X191" s="27" t="str">
        <f t="shared" si="951"/>
        <v xml:space="preserve"> </v>
      </c>
      <c r="Y191" s="27">
        <f t="shared" ca="1" si="951"/>
        <v>0.32291666666666669</v>
      </c>
      <c r="Z191" s="27">
        <f t="shared" ca="1" si="951"/>
        <v>0.33402777777777776</v>
      </c>
      <c r="AA191" s="27" t="str">
        <f t="shared" ca="1" si="951"/>
        <v xml:space="preserve"> </v>
      </c>
      <c r="AB191" s="27" t="str">
        <f t="shared" ca="1" si="951"/>
        <v xml:space="preserve"> </v>
      </c>
      <c r="AC191" s="27" t="str">
        <f t="shared" ca="1" si="951"/>
        <v xml:space="preserve"> </v>
      </c>
      <c r="AD191" s="27" t="str">
        <f t="shared" ca="1" si="951"/>
        <v xml:space="preserve"> </v>
      </c>
      <c r="AE191" s="27" t="str">
        <f t="shared" si="951"/>
        <v xml:space="preserve"> </v>
      </c>
      <c r="AF191" s="27" t="str">
        <f t="shared" ca="1" si="951"/>
        <v xml:space="preserve"> </v>
      </c>
      <c r="AG191" s="27" t="str">
        <f t="shared" ca="1" si="951"/>
        <v xml:space="preserve"> </v>
      </c>
      <c r="AH191" s="27" t="str">
        <f t="shared" ca="1" si="951"/>
        <v xml:space="preserve"> </v>
      </c>
      <c r="AI191" s="27">
        <f t="shared" ca="1" si="904"/>
        <v>0.3208333333333333</v>
      </c>
      <c r="AJ191" s="28">
        <f t="shared" ref="AJ191" ca="1" si="952">AJ188*8</f>
        <v>96</v>
      </c>
      <c r="AK191" s="29"/>
      <c r="AL191" s="29"/>
      <c r="AM191" s="29"/>
      <c r="AN191" s="29"/>
      <c r="AO191" s="23" t="s">
        <v>22</v>
      </c>
    </row>
    <row r="192" spans="1:41" ht="15" x14ac:dyDescent="0.3">
      <c r="A192" s="26"/>
      <c r="B192" s="1" t="s">
        <v>22</v>
      </c>
      <c r="C192" s="48" t="s">
        <v>22</v>
      </c>
      <c r="D192" s="45" t="s">
        <v>19</v>
      </c>
      <c r="E192" s="27" t="str">
        <f t="shared" ref="E192:AH192" ca="1" si="953">IF(E188="P","08:00"," ")</f>
        <v xml:space="preserve"> </v>
      </c>
      <c r="F192" s="27" t="str">
        <f t="shared" ca="1" si="953"/>
        <v>08:00</v>
      </c>
      <c r="G192" s="27" t="str">
        <f t="shared" ca="1" si="953"/>
        <v>08:00</v>
      </c>
      <c r="H192" s="27" t="str">
        <f t="shared" ca="1" si="953"/>
        <v xml:space="preserve"> </v>
      </c>
      <c r="I192" s="27" t="str">
        <f t="shared" ca="1" si="953"/>
        <v>08:00</v>
      </c>
      <c r="J192" s="27" t="str">
        <f t="shared" si="953"/>
        <v xml:space="preserve"> </v>
      </c>
      <c r="K192" s="27" t="str">
        <f t="shared" ca="1" si="953"/>
        <v xml:space="preserve"> </v>
      </c>
      <c r="L192" s="27" t="str">
        <f t="shared" ca="1" si="953"/>
        <v xml:space="preserve"> </v>
      </c>
      <c r="M192" s="27" t="str">
        <f t="shared" ca="1" si="953"/>
        <v>08:00</v>
      </c>
      <c r="N192" s="27" t="str">
        <f t="shared" ca="1" si="953"/>
        <v xml:space="preserve"> </v>
      </c>
      <c r="O192" s="27" t="str">
        <f t="shared" ca="1" si="953"/>
        <v>08:00</v>
      </c>
      <c r="P192" s="27" t="str">
        <f t="shared" ca="1" si="953"/>
        <v xml:space="preserve"> </v>
      </c>
      <c r="Q192" s="27" t="str">
        <f t="shared" si="953"/>
        <v xml:space="preserve"> </v>
      </c>
      <c r="R192" s="27" t="str">
        <f t="shared" ca="1" si="953"/>
        <v>08:00</v>
      </c>
      <c r="S192" s="27" t="str">
        <f t="shared" ca="1" si="953"/>
        <v xml:space="preserve"> </v>
      </c>
      <c r="T192" s="27" t="str">
        <f t="shared" ca="1" si="953"/>
        <v>08:00</v>
      </c>
      <c r="U192" s="27" t="str">
        <f t="shared" ca="1" si="953"/>
        <v>08:00</v>
      </c>
      <c r="V192" s="27" t="str">
        <f t="shared" ca="1" si="953"/>
        <v xml:space="preserve"> </v>
      </c>
      <c r="W192" s="27" t="str">
        <f t="shared" ca="1" si="953"/>
        <v>08:00</v>
      </c>
      <c r="X192" s="27" t="str">
        <f t="shared" si="953"/>
        <v xml:space="preserve"> </v>
      </c>
      <c r="Y192" s="27" t="str">
        <f t="shared" ca="1" si="953"/>
        <v>08:00</v>
      </c>
      <c r="Z192" s="27" t="str">
        <f t="shared" ca="1" si="953"/>
        <v>08:00</v>
      </c>
      <c r="AA192" s="27" t="str">
        <f t="shared" ca="1" si="953"/>
        <v xml:space="preserve"> </v>
      </c>
      <c r="AB192" s="27" t="str">
        <f t="shared" ca="1" si="953"/>
        <v xml:space="preserve"> </v>
      </c>
      <c r="AC192" s="27" t="str">
        <f t="shared" ca="1" si="953"/>
        <v xml:space="preserve"> </v>
      </c>
      <c r="AD192" s="27" t="str">
        <f t="shared" ca="1" si="953"/>
        <v xml:space="preserve"> </v>
      </c>
      <c r="AE192" s="27" t="str">
        <f t="shared" si="953"/>
        <v xml:space="preserve"> </v>
      </c>
      <c r="AF192" s="27" t="str">
        <f t="shared" ca="1" si="953"/>
        <v xml:space="preserve"> </v>
      </c>
      <c r="AG192" s="27" t="str">
        <f t="shared" ca="1" si="953"/>
        <v xml:space="preserve"> </v>
      </c>
      <c r="AH192" s="27" t="str">
        <f t="shared" ca="1" si="953"/>
        <v xml:space="preserve"> </v>
      </c>
      <c r="AI192" s="27" t="str">
        <f t="shared" ca="1" si="906"/>
        <v>08:00</v>
      </c>
      <c r="AJ192" s="28"/>
      <c r="AK192" s="29"/>
      <c r="AL192" s="29"/>
      <c r="AM192" s="29"/>
      <c r="AN192" s="29"/>
      <c r="AO192" s="23" t="s">
        <v>22</v>
      </c>
    </row>
    <row r="193" spans="1:41" ht="15" x14ac:dyDescent="0.3">
      <c r="A193" s="26"/>
      <c r="B193" s="1" t="s">
        <v>22</v>
      </c>
      <c r="C193" s="48" t="s">
        <v>22</v>
      </c>
      <c r="D193" s="45" t="s">
        <v>12</v>
      </c>
      <c r="E193" s="27" t="str">
        <f t="shared" ref="E193:AH193" ca="1" si="954">IF(E188="P","01:00"," ")</f>
        <v xml:space="preserve"> </v>
      </c>
      <c r="F193" s="27" t="str">
        <f t="shared" ca="1" si="954"/>
        <v>01:00</v>
      </c>
      <c r="G193" s="27" t="str">
        <f t="shared" ca="1" si="954"/>
        <v>01:00</v>
      </c>
      <c r="H193" s="27" t="str">
        <f t="shared" ca="1" si="954"/>
        <v xml:space="preserve"> </v>
      </c>
      <c r="I193" s="27" t="str">
        <f t="shared" ca="1" si="954"/>
        <v>01:00</v>
      </c>
      <c r="J193" s="27" t="str">
        <f t="shared" si="954"/>
        <v xml:space="preserve"> </v>
      </c>
      <c r="K193" s="27" t="str">
        <f t="shared" ca="1" si="954"/>
        <v xml:space="preserve"> </v>
      </c>
      <c r="L193" s="27" t="str">
        <f t="shared" ca="1" si="954"/>
        <v xml:space="preserve"> </v>
      </c>
      <c r="M193" s="27" t="str">
        <f t="shared" ca="1" si="954"/>
        <v>01:00</v>
      </c>
      <c r="N193" s="27" t="str">
        <f t="shared" ca="1" si="954"/>
        <v xml:space="preserve"> </v>
      </c>
      <c r="O193" s="27" t="str">
        <f t="shared" ca="1" si="954"/>
        <v>01:00</v>
      </c>
      <c r="P193" s="27" t="str">
        <f t="shared" ca="1" si="954"/>
        <v xml:space="preserve"> </v>
      </c>
      <c r="Q193" s="27" t="str">
        <f t="shared" si="954"/>
        <v xml:space="preserve"> </v>
      </c>
      <c r="R193" s="27" t="str">
        <f t="shared" ca="1" si="954"/>
        <v>01:00</v>
      </c>
      <c r="S193" s="27" t="str">
        <f t="shared" ca="1" si="954"/>
        <v xml:space="preserve"> </v>
      </c>
      <c r="T193" s="27" t="str">
        <f t="shared" ca="1" si="954"/>
        <v>01:00</v>
      </c>
      <c r="U193" s="27" t="str">
        <f t="shared" ca="1" si="954"/>
        <v>01:00</v>
      </c>
      <c r="V193" s="27" t="str">
        <f t="shared" ca="1" si="954"/>
        <v xml:space="preserve"> </v>
      </c>
      <c r="W193" s="27" t="str">
        <f t="shared" ca="1" si="954"/>
        <v>01:00</v>
      </c>
      <c r="X193" s="27" t="str">
        <f t="shared" si="954"/>
        <v xml:space="preserve"> </v>
      </c>
      <c r="Y193" s="27" t="str">
        <f t="shared" ca="1" si="954"/>
        <v>01:00</v>
      </c>
      <c r="Z193" s="27" t="str">
        <f t="shared" ca="1" si="954"/>
        <v>01:00</v>
      </c>
      <c r="AA193" s="27" t="str">
        <f t="shared" ca="1" si="954"/>
        <v xml:space="preserve"> </v>
      </c>
      <c r="AB193" s="27" t="str">
        <f t="shared" ca="1" si="954"/>
        <v xml:space="preserve"> </v>
      </c>
      <c r="AC193" s="27" t="str">
        <f t="shared" ca="1" si="954"/>
        <v xml:space="preserve"> </v>
      </c>
      <c r="AD193" s="27" t="str">
        <f t="shared" ca="1" si="954"/>
        <v xml:space="preserve"> </v>
      </c>
      <c r="AE193" s="27" t="str">
        <f t="shared" si="954"/>
        <v xml:space="preserve"> </v>
      </c>
      <c r="AF193" s="27" t="str">
        <f t="shared" ca="1" si="954"/>
        <v xml:space="preserve"> </v>
      </c>
      <c r="AG193" s="27" t="str">
        <f t="shared" ca="1" si="954"/>
        <v xml:space="preserve"> </v>
      </c>
      <c r="AH193" s="27" t="str">
        <f t="shared" ca="1" si="954"/>
        <v xml:space="preserve"> </v>
      </c>
      <c r="AI193" s="27" t="str">
        <f t="shared" ca="1" si="907"/>
        <v>01:00</v>
      </c>
      <c r="AJ193" s="24" t="s">
        <v>11</v>
      </c>
      <c r="AK193" s="25"/>
      <c r="AL193" s="25"/>
      <c r="AM193" s="25"/>
      <c r="AN193" s="25"/>
      <c r="AO193" s="23" t="s">
        <v>22</v>
      </c>
    </row>
    <row r="194" spans="1:41" ht="15" x14ac:dyDescent="0.3">
      <c r="A194" s="26"/>
      <c r="B194" s="1" t="s">
        <v>22</v>
      </c>
      <c r="C194" s="48" t="s">
        <v>22</v>
      </c>
      <c r="D194" s="45" t="s">
        <v>11</v>
      </c>
      <c r="E194" s="27" t="str">
        <f t="shared" ref="E194:AH194" ca="1" si="955">IF(E188="P",E191-E193," ")</f>
        <v xml:space="preserve"> </v>
      </c>
      <c r="F194" s="27">
        <f t="shared" ca="1" si="955"/>
        <v>0.29513888888888884</v>
      </c>
      <c r="G194" s="27">
        <f t="shared" ca="1" si="955"/>
        <v>0.28819444444444442</v>
      </c>
      <c r="H194" s="27" t="str">
        <f t="shared" ca="1" si="955"/>
        <v xml:space="preserve"> </v>
      </c>
      <c r="I194" s="27">
        <f t="shared" ca="1" si="955"/>
        <v>0.27986111111111112</v>
      </c>
      <c r="J194" s="27" t="str">
        <f t="shared" si="955"/>
        <v xml:space="preserve"> </v>
      </c>
      <c r="K194" s="27" t="str">
        <f t="shared" ca="1" si="955"/>
        <v xml:space="preserve"> </v>
      </c>
      <c r="L194" s="27" t="str">
        <f t="shared" ca="1" si="955"/>
        <v xml:space="preserve"> </v>
      </c>
      <c r="M194" s="27">
        <f t="shared" ca="1" si="955"/>
        <v>0.27499999999999997</v>
      </c>
      <c r="N194" s="27" t="str">
        <f t="shared" ca="1" si="955"/>
        <v xml:space="preserve"> </v>
      </c>
      <c r="O194" s="27">
        <f t="shared" ca="1" si="955"/>
        <v>0.27361111111111108</v>
      </c>
      <c r="P194" s="27" t="str">
        <f t="shared" ca="1" si="955"/>
        <v xml:space="preserve"> </v>
      </c>
      <c r="Q194" s="27" t="str">
        <f t="shared" si="955"/>
        <v xml:space="preserve"> </v>
      </c>
      <c r="R194" s="27">
        <f t="shared" ca="1" si="955"/>
        <v>0.28194444444444439</v>
      </c>
      <c r="S194" s="27" t="str">
        <f t="shared" ca="1" si="955"/>
        <v xml:space="preserve"> </v>
      </c>
      <c r="T194" s="27">
        <f t="shared" ca="1" si="955"/>
        <v>0.3</v>
      </c>
      <c r="U194" s="27">
        <f t="shared" ca="1" si="955"/>
        <v>0.31319444444444444</v>
      </c>
      <c r="V194" s="27" t="str">
        <f t="shared" ca="1" si="955"/>
        <v xml:space="preserve"> </v>
      </c>
      <c r="W194" s="27">
        <f t="shared" ca="1" si="955"/>
        <v>0.29791666666666666</v>
      </c>
      <c r="X194" s="27" t="str">
        <f t="shared" si="955"/>
        <v xml:space="preserve"> </v>
      </c>
      <c r="Y194" s="27">
        <f t="shared" ca="1" si="955"/>
        <v>0.28125</v>
      </c>
      <c r="Z194" s="27">
        <f t="shared" ca="1" si="955"/>
        <v>0.29236111111111107</v>
      </c>
      <c r="AA194" s="27" t="str">
        <f t="shared" ca="1" si="955"/>
        <v xml:space="preserve"> </v>
      </c>
      <c r="AB194" s="27" t="str">
        <f t="shared" ca="1" si="955"/>
        <v xml:space="preserve"> </v>
      </c>
      <c r="AC194" s="27" t="str">
        <f t="shared" ca="1" si="955"/>
        <v xml:space="preserve"> </v>
      </c>
      <c r="AD194" s="27" t="str">
        <f t="shared" ca="1" si="955"/>
        <v xml:space="preserve"> </v>
      </c>
      <c r="AE194" s="27" t="str">
        <f t="shared" si="955"/>
        <v xml:space="preserve"> </v>
      </c>
      <c r="AF194" s="27" t="str">
        <f t="shared" ca="1" si="955"/>
        <v xml:space="preserve"> </v>
      </c>
      <c r="AG194" s="27" t="str">
        <f t="shared" ca="1" si="955"/>
        <v xml:space="preserve"> </v>
      </c>
      <c r="AH194" s="27" t="str">
        <f t="shared" ca="1" si="955"/>
        <v xml:space="preserve"> </v>
      </c>
      <c r="AI194" s="27">
        <f t="shared" ca="1" si="908"/>
        <v>0.27916666666666662</v>
      </c>
      <c r="AJ194" s="30">
        <f t="shared" ref="AJ194:AJ195" ca="1" si="956">SUM(E194:AH194)</f>
        <v>3.1784722222222217</v>
      </c>
      <c r="AK194" s="25"/>
      <c r="AL194" s="25"/>
      <c r="AM194" s="25"/>
      <c r="AN194" s="25"/>
      <c r="AO194" s="23" t="s">
        <v>22</v>
      </c>
    </row>
    <row r="195" spans="1:41" ht="15.6" thickBot="1" x14ac:dyDescent="0.35">
      <c r="A195" s="31"/>
      <c r="B195" s="32" t="s">
        <v>22</v>
      </c>
      <c r="C195" s="49" t="s">
        <v>22</v>
      </c>
      <c r="D195" s="46" t="s">
        <v>20</v>
      </c>
      <c r="E195" s="33" t="str">
        <f t="shared" ref="E195:AH195" ca="1" si="957">IF(E188="P",(IF(E192&gt;E194,0,E194-E192))," ")</f>
        <v xml:space="preserve"> </v>
      </c>
      <c r="F195" s="33">
        <f t="shared" ca="1" si="957"/>
        <v>0</v>
      </c>
      <c r="G195" s="33">
        <f t="shared" ca="1" si="957"/>
        <v>0</v>
      </c>
      <c r="H195" s="33" t="str">
        <f t="shared" ca="1" si="957"/>
        <v xml:space="preserve"> </v>
      </c>
      <c r="I195" s="33">
        <f t="shared" ca="1" si="957"/>
        <v>0</v>
      </c>
      <c r="J195" s="33" t="str">
        <f t="shared" si="957"/>
        <v xml:space="preserve"> </v>
      </c>
      <c r="K195" s="33" t="str">
        <f t="shared" ca="1" si="957"/>
        <v xml:space="preserve"> </v>
      </c>
      <c r="L195" s="33" t="str">
        <f t="shared" ca="1" si="957"/>
        <v xml:space="preserve"> </v>
      </c>
      <c r="M195" s="33">
        <f t="shared" ca="1" si="957"/>
        <v>0</v>
      </c>
      <c r="N195" s="33" t="str">
        <f t="shared" ca="1" si="957"/>
        <v xml:space="preserve"> </v>
      </c>
      <c r="O195" s="33">
        <f t="shared" ca="1" si="957"/>
        <v>0</v>
      </c>
      <c r="P195" s="33" t="str">
        <f t="shared" ca="1" si="957"/>
        <v xml:space="preserve"> </v>
      </c>
      <c r="Q195" s="33" t="str">
        <f t="shared" si="957"/>
        <v xml:space="preserve"> </v>
      </c>
      <c r="R195" s="33">
        <f t="shared" ca="1" si="957"/>
        <v>0</v>
      </c>
      <c r="S195" s="33" t="str">
        <f t="shared" ca="1" si="957"/>
        <v xml:space="preserve"> </v>
      </c>
      <c r="T195" s="33">
        <f t="shared" ca="1" si="957"/>
        <v>0</v>
      </c>
      <c r="U195" s="33">
        <f t="shared" ca="1" si="957"/>
        <v>0</v>
      </c>
      <c r="V195" s="33" t="str">
        <f t="shared" ca="1" si="957"/>
        <v xml:space="preserve"> </v>
      </c>
      <c r="W195" s="33">
        <f t="shared" ca="1" si="957"/>
        <v>0</v>
      </c>
      <c r="X195" s="33" t="str">
        <f t="shared" si="957"/>
        <v xml:space="preserve"> </v>
      </c>
      <c r="Y195" s="33">
        <f t="shared" ca="1" si="957"/>
        <v>0</v>
      </c>
      <c r="Z195" s="33">
        <f t="shared" ca="1" si="957"/>
        <v>0</v>
      </c>
      <c r="AA195" s="33" t="str">
        <f t="shared" ca="1" si="957"/>
        <v xml:space="preserve"> </v>
      </c>
      <c r="AB195" s="33" t="str">
        <f t="shared" ca="1" si="957"/>
        <v xml:space="preserve"> </v>
      </c>
      <c r="AC195" s="33" t="str">
        <f t="shared" ca="1" si="957"/>
        <v xml:space="preserve"> </v>
      </c>
      <c r="AD195" s="33" t="str">
        <f t="shared" ca="1" si="957"/>
        <v xml:space="preserve"> </v>
      </c>
      <c r="AE195" s="33" t="str">
        <f t="shared" si="957"/>
        <v xml:space="preserve"> </v>
      </c>
      <c r="AF195" s="33" t="str">
        <f t="shared" ca="1" si="957"/>
        <v xml:space="preserve"> </v>
      </c>
      <c r="AG195" s="33" t="str">
        <f t="shared" ca="1" si="957"/>
        <v xml:space="preserve"> </v>
      </c>
      <c r="AH195" s="33" t="str">
        <f t="shared" ca="1" si="957"/>
        <v xml:space="preserve"> </v>
      </c>
      <c r="AI195" s="33">
        <f t="shared" ca="1" si="910"/>
        <v>0</v>
      </c>
      <c r="AJ195" s="34">
        <f t="shared" ca="1" si="956"/>
        <v>0</v>
      </c>
      <c r="AK195" s="35"/>
      <c r="AL195" s="35"/>
      <c r="AM195" s="35"/>
      <c r="AN195" s="35"/>
      <c r="AO195" s="36" t="s">
        <v>22</v>
      </c>
    </row>
    <row r="196" spans="1:41" ht="15.6" thickBot="1" x14ac:dyDescent="0.35">
      <c r="A196" s="14"/>
      <c r="B196" s="15" t="s">
        <v>22</v>
      </c>
      <c r="C196" s="47" t="s">
        <v>22</v>
      </c>
      <c r="D196" s="37" t="s">
        <v>3</v>
      </c>
      <c r="E196" s="9">
        <f t="shared" ref="E196:T196" ca="1" si="958">IF(OR(E$5="",E$5=0),-2,IF(E$6=$D197,-1,RAND()))</f>
        <v>0.28603953065864318</v>
      </c>
      <c r="F196" s="9">
        <f t="shared" ca="1" si="958"/>
        <v>0.33237566959556086</v>
      </c>
      <c r="G196" s="9">
        <f t="shared" ca="1" si="958"/>
        <v>0.69718059461395976</v>
      </c>
      <c r="H196" s="9">
        <f t="shared" ca="1" si="958"/>
        <v>0.28105644135822838</v>
      </c>
      <c r="I196" s="9">
        <f t="shared" ca="1" si="958"/>
        <v>0.2433877130320532</v>
      </c>
      <c r="J196" s="9">
        <f t="shared" ca="1" si="958"/>
        <v>0.5072339816387238</v>
      </c>
      <c r="K196" s="9">
        <f t="shared" ca="1" si="958"/>
        <v>-1</v>
      </c>
      <c r="L196" s="9">
        <f t="shared" ca="1" si="958"/>
        <v>0.43771757179259663</v>
      </c>
      <c r="M196" s="9">
        <f t="shared" ca="1" si="958"/>
        <v>0.84732526573538114</v>
      </c>
      <c r="N196" s="9">
        <f t="shared" ca="1" si="958"/>
        <v>0.6505846409325543</v>
      </c>
      <c r="O196" s="9">
        <f t="shared" ca="1" si="958"/>
        <v>0.5269055372905832</v>
      </c>
      <c r="P196" s="9">
        <f t="shared" ca="1" si="958"/>
        <v>0.51899533295146483</v>
      </c>
      <c r="Q196" s="9">
        <f t="shared" ca="1" si="958"/>
        <v>0.85695908986711833</v>
      </c>
      <c r="R196" s="9">
        <f t="shared" ca="1" si="958"/>
        <v>-1</v>
      </c>
      <c r="S196" s="9">
        <f t="shared" ca="1" si="958"/>
        <v>0.40724345847897525</v>
      </c>
      <c r="T196" s="9">
        <f t="shared" ca="1" si="958"/>
        <v>0.47118984880229542</v>
      </c>
      <c r="U196" s="9">
        <f t="shared" ref="U196:AI196" ca="1" si="959">IF(OR(U$5="",U$5=0),-2,IF(U$6=$D197,-1,RAND()))</f>
        <v>0.76682164257409002</v>
      </c>
      <c r="V196" s="9">
        <f t="shared" ca="1" si="959"/>
        <v>0.33416143989716451</v>
      </c>
      <c r="W196" s="9">
        <f t="shared" ca="1" si="959"/>
        <v>1.2987971011273358E-2</v>
      </c>
      <c r="X196" s="9">
        <f t="shared" ca="1" si="959"/>
        <v>0.60403521254749493</v>
      </c>
      <c r="Y196" s="9">
        <f t="shared" ca="1" si="959"/>
        <v>-1</v>
      </c>
      <c r="Z196" s="9">
        <f t="shared" ca="1" si="959"/>
        <v>0.14501130291585607</v>
      </c>
      <c r="AA196" s="9">
        <f t="shared" ca="1" si="959"/>
        <v>0.77410389583459527</v>
      </c>
      <c r="AB196" s="9">
        <f t="shared" ca="1" si="959"/>
        <v>0.89977261806772157</v>
      </c>
      <c r="AC196" s="9">
        <f t="shared" ca="1" si="959"/>
        <v>0.97062074600525572</v>
      </c>
      <c r="AD196" s="9">
        <f t="shared" ca="1" si="959"/>
        <v>0.82409714169853077</v>
      </c>
      <c r="AE196" s="9">
        <f t="shared" ca="1" si="959"/>
        <v>0.95553057644324557</v>
      </c>
      <c r="AF196" s="9">
        <f t="shared" ca="1" si="959"/>
        <v>-1</v>
      </c>
      <c r="AG196" s="9">
        <f t="shared" ca="1" si="959"/>
        <v>0.48817136178583498</v>
      </c>
      <c r="AH196" s="9">
        <f t="shared" ca="1" si="959"/>
        <v>0.88226294884717205</v>
      </c>
      <c r="AI196" s="9">
        <f t="shared" ca="1" si="959"/>
        <v>5.6285985513391812E-2</v>
      </c>
      <c r="AJ196" s="38"/>
      <c r="AK196" s="37"/>
      <c r="AL196" s="37"/>
      <c r="AM196" s="37"/>
      <c r="AN196" s="37"/>
      <c r="AO196" s="39" t="s">
        <v>22</v>
      </c>
    </row>
    <row r="197" spans="1:41" ht="15.6" thickBot="1" x14ac:dyDescent="0.35">
      <c r="A197" s="42"/>
      <c r="B197" s="44" t="s">
        <v>43</v>
      </c>
      <c r="C197" s="43" t="s">
        <v>65</v>
      </c>
      <c r="D197" s="37" t="s">
        <v>15</v>
      </c>
      <c r="E197" s="9" t="str">
        <f t="shared" ref="E197" ca="1" si="960">IF(OR(E$5="",E$5=0),"",IF(E$6=$D197,"W",IF(_xlfn.RANK.EQ(E196,$E196:$AI196,0)&lt;=INT($AO197),"P",IF(AND(_xlfn.RANK.EQ(E196,$E196:$AI196,0)=INT($AO197)+1,MOD($AO197,1)=0.5),"H","A"))))</f>
        <v>P</v>
      </c>
      <c r="F197" s="9" t="str">
        <f t="shared" ref="F197" ca="1" si="961">IF(OR(F$5="",F$5=0),"",IF(F$6=$D197,"W",IF(_xlfn.RANK.EQ(F196,$E196:$AI196,0)&lt;=INT($AO197),"P",IF(AND(_xlfn.RANK.EQ(F196,$E196:$AI196,0)=INT($AO197)+1,MOD($AO197,1)=0.5),"H","A"))))</f>
        <v>P</v>
      </c>
      <c r="G197" s="9" t="str">
        <f t="shared" ref="G197" ca="1" si="962">IF(OR(G$5="",G$5=0),"",IF(G$6=$D197,"W",IF(_xlfn.RANK.EQ(G196,$E196:$AI196,0)&lt;=INT($AO197),"P",IF(AND(_xlfn.RANK.EQ(G196,$E196:$AI196,0)=INT($AO197)+1,MOD($AO197,1)=0.5),"H","A"))))</f>
        <v>P</v>
      </c>
      <c r="H197" s="9" t="str">
        <f t="shared" ref="H197" ca="1" si="963">IF(OR(H$5="",H$5=0),"",IF(H$6=$D197,"W",IF(_xlfn.RANK.EQ(H196,$E196:$AI196,0)&lt;=INT($AO197),"P",IF(AND(_xlfn.RANK.EQ(H196,$E196:$AI196,0)=INT($AO197)+1,MOD($AO197,1)=0.5),"H","A"))))</f>
        <v>P</v>
      </c>
      <c r="I197" s="9" t="str">
        <f t="shared" ref="I197" ca="1" si="964">IF(OR(I$5="",I$5=0),"",IF(I$6=$D197,"W",IF(_xlfn.RANK.EQ(I196,$E196:$AI196,0)&lt;=INT($AO197),"P",IF(AND(_xlfn.RANK.EQ(I196,$E196:$AI196,0)=INT($AO197)+1,MOD($AO197,1)=0.5),"H","A"))))</f>
        <v>P</v>
      </c>
      <c r="J197" s="9" t="str">
        <f t="shared" ref="J197" ca="1" si="965">IF(OR(J$5="",J$5=0),"",IF(J$6=$D197,"W",IF(_xlfn.RANK.EQ(J196,$E196:$AI196,0)&lt;=INT($AO197),"P",IF(AND(_xlfn.RANK.EQ(J196,$E196:$AI196,0)=INT($AO197)+1,MOD($AO197,1)=0.5),"H","A"))))</f>
        <v>P</v>
      </c>
      <c r="K197" s="9" t="str">
        <f t="shared" ref="K197" si="966">IF(OR(K$5="",K$5=0),"",IF(K$6=$D197,"W",IF(_xlfn.RANK.EQ(K196,$E196:$AI196,0)&lt;=INT($AO197),"P",IF(AND(_xlfn.RANK.EQ(K196,$E196:$AI196,0)=INT($AO197)+1,MOD($AO197,1)=0.5),"H","A"))))</f>
        <v>W</v>
      </c>
      <c r="L197" s="9" t="str">
        <f t="shared" ref="L197" ca="1" si="967">IF(OR(L$5="",L$5=0),"",IF(L$6=$D197,"W",IF(_xlfn.RANK.EQ(L196,$E196:$AI196,0)&lt;=INT($AO197),"P",IF(AND(_xlfn.RANK.EQ(L196,$E196:$AI196,0)=INT($AO197)+1,MOD($AO197,1)=0.5),"H","A"))))</f>
        <v>P</v>
      </c>
      <c r="M197" s="9" t="str">
        <f t="shared" ref="M197" ca="1" si="968">IF(OR(M$5="",M$5=0),"",IF(M$6=$D197,"W",IF(_xlfn.RANK.EQ(M196,$E196:$AI196,0)&lt;=INT($AO197),"P",IF(AND(_xlfn.RANK.EQ(M196,$E196:$AI196,0)=INT($AO197)+1,MOD($AO197,1)=0.5),"H","A"))))</f>
        <v>P</v>
      </c>
      <c r="N197" s="9" t="str">
        <f t="shared" ref="N197" ca="1" si="969">IF(OR(N$5="",N$5=0),"",IF(N$6=$D197,"W",IF(_xlfn.RANK.EQ(N196,$E196:$AI196,0)&lt;=INT($AO197),"P",IF(AND(_xlfn.RANK.EQ(N196,$E196:$AI196,0)=INT($AO197)+1,MOD($AO197,1)=0.5),"H","A"))))</f>
        <v>P</v>
      </c>
      <c r="O197" s="9" t="str">
        <f t="shared" ref="O197" ca="1" si="970">IF(OR(O$5="",O$5=0),"",IF(O$6=$D197,"W",IF(_xlfn.RANK.EQ(O196,$E196:$AI196,0)&lt;=INT($AO197),"P",IF(AND(_xlfn.RANK.EQ(O196,$E196:$AI196,0)=INT($AO197)+1,MOD($AO197,1)=0.5),"H","A"))))</f>
        <v>P</v>
      </c>
      <c r="P197" s="9" t="str">
        <f t="shared" ref="P197" ca="1" si="971">IF(OR(P$5="",P$5=0),"",IF(P$6=$D197,"W",IF(_xlfn.RANK.EQ(P196,$E196:$AI196,0)&lt;=INT($AO197),"P",IF(AND(_xlfn.RANK.EQ(P196,$E196:$AI196,0)=INT($AO197)+1,MOD($AO197,1)=0.5),"H","A"))))</f>
        <v>P</v>
      </c>
      <c r="Q197" s="9" t="str">
        <f t="shared" ref="Q197" ca="1" si="972">IF(OR(Q$5="",Q$5=0),"",IF(Q$6=$D197,"W",IF(_xlfn.RANK.EQ(Q196,$E196:$AI196,0)&lt;=INT($AO197),"P",IF(AND(_xlfn.RANK.EQ(Q196,$E196:$AI196,0)=INT($AO197)+1,MOD($AO197,1)=0.5),"H","A"))))</f>
        <v>P</v>
      </c>
      <c r="R197" s="9" t="str">
        <f t="shared" ref="R197" si="973">IF(OR(R$5="",R$5=0),"",IF(R$6=$D197,"W",IF(_xlfn.RANK.EQ(R196,$E196:$AI196,0)&lt;=INT($AO197),"P",IF(AND(_xlfn.RANK.EQ(R196,$E196:$AI196,0)=INT($AO197)+1,MOD($AO197,1)=0.5),"H","A"))))</f>
        <v>W</v>
      </c>
      <c r="S197" s="9" t="str">
        <f t="shared" ref="S197" ca="1" si="974">IF(OR(S$5="",S$5=0),"",IF(S$6=$D197,"W",IF(_xlfn.RANK.EQ(S196,$E196:$AI196,0)&lt;=INT($AO197),"P",IF(AND(_xlfn.RANK.EQ(S196,$E196:$AI196,0)=INT($AO197)+1,MOD($AO197,1)=0.5),"H","A"))))</f>
        <v>P</v>
      </c>
      <c r="T197" s="9" t="str">
        <f t="shared" ref="T197" ca="1" si="975">IF(OR(T$5="",T$5=0),"",IF(T$6=$D197,"W",IF(_xlfn.RANK.EQ(T196,$E196:$AI196,0)&lt;=INT($AO197),"P",IF(AND(_xlfn.RANK.EQ(T196,$E196:$AI196,0)=INT($AO197)+1,MOD($AO197,1)=0.5),"H","A"))))</f>
        <v>P</v>
      </c>
      <c r="U197" s="9" t="str">
        <f t="shared" ref="U197" ca="1" si="976">IF(OR(U$5="",U$5=0),"",IF(U$6=$D197,"W",IF(_xlfn.RANK.EQ(U196,$E196:$AI196,0)&lt;=INT($AO197),"P",IF(AND(_xlfn.RANK.EQ(U196,$E196:$AI196,0)=INT($AO197)+1,MOD($AO197,1)=0.5),"H","A"))))</f>
        <v>P</v>
      </c>
      <c r="V197" s="9" t="str">
        <f t="shared" ref="V197" ca="1" si="977">IF(OR(V$5="",V$5=0),"",IF(V$6=$D197,"W",IF(_xlfn.RANK.EQ(V196,$E196:$AI196,0)&lt;=INT($AO197),"P",IF(AND(_xlfn.RANK.EQ(V196,$E196:$AI196,0)=INT($AO197)+1,MOD($AO197,1)=0.5),"H","A"))))</f>
        <v>P</v>
      </c>
      <c r="W197" s="9" t="str">
        <f t="shared" ref="W197" ca="1" si="978">IF(OR(W$5="",W$5=0),"",IF(W$6=$D197,"W",IF(_xlfn.RANK.EQ(W196,$E196:$AI196,0)&lt;=INT($AO197),"P",IF(AND(_xlfn.RANK.EQ(W196,$E196:$AI196,0)=INT($AO197)+1,MOD($AO197,1)=0.5),"H","A"))))</f>
        <v>A</v>
      </c>
      <c r="X197" s="9" t="str">
        <f t="shared" ref="X197" ca="1" si="979">IF(OR(X$5="",X$5=0),"",IF(X$6=$D197,"W",IF(_xlfn.RANK.EQ(X196,$E196:$AI196,0)&lt;=INT($AO197),"P",IF(AND(_xlfn.RANK.EQ(X196,$E196:$AI196,0)=INT($AO197)+1,MOD($AO197,1)=0.5),"H","A"))))</f>
        <v>P</v>
      </c>
      <c r="Y197" s="9" t="str">
        <f t="shared" ref="Y197" si="980">IF(OR(Y$5="",Y$5=0),"",IF(Y$6=$D197,"W",IF(_xlfn.RANK.EQ(Y196,$E196:$AI196,0)&lt;=INT($AO197),"P",IF(AND(_xlfn.RANK.EQ(Y196,$E196:$AI196,0)=INT($AO197)+1,MOD($AO197,1)=0.5),"H","A"))))</f>
        <v>W</v>
      </c>
      <c r="Z197" s="9" t="str">
        <f t="shared" ref="Z197" ca="1" si="981">IF(OR(Z$5="",Z$5=0),"",IF(Z$6=$D197,"W",IF(_xlfn.RANK.EQ(Z196,$E196:$AI196,0)&lt;=INT($AO197),"P",IF(AND(_xlfn.RANK.EQ(Z196,$E196:$AI196,0)=INT($AO197)+1,MOD($AO197,1)=0.5),"H","A"))))</f>
        <v>P</v>
      </c>
      <c r="AA197" s="9" t="str">
        <f t="shared" ref="AA197" ca="1" si="982">IF(OR(AA$5="",AA$5=0),"",IF(AA$6=$D197,"W",IF(_xlfn.RANK.EQ(AA196,$E196:$AI196,0)&lt;=INT($AO197),"P",IF(AND(_xlfn.RANK.EQ(AA196,$E196:$AI196,0)=INT($AO197)+1,MOD($AO197,1)=0.5),"H","A"))))</f>
        <v>P</v>
      </c>
      <c r="AB197" s="9" t="str">
        <f t="shared" ref="AB197" ca="1" si="983">IF(OR(AB$5="",AB$5=0),"",IF(AB$6=$D197,"W",IF(_xlfn.RANK.EQ(AB196,$E196:$AI196,0)&lt;=INT($AO197),"P",IF(AND(_xlfn.RANK.EQ(AB196,$E196:$AI196,0)=INT($AO197)+1,MOD($AO197,1)=0.5),"H","A"))))</f>
        <v>P</v>
      </c>
      <c r="AC197" s="9" t="str">
        <f t="shared" ref="AC197" ca="1" si="984">IF(OR(AC$5="",AC$5=0),"",IF(AC$6=$D197,"W",IF(_xlfn.RANK.EQ(AC196,$E196:$AI196,0)&lt;=INT($AO197),"P",IF(AND(_xlfn.RANK.EQ(AC196,$E196:$AI196,0)=INT($AO197)+1,MOD($AO197,1)=0.5),"H","A"))))</f>
        <v>P</v>
      </c>
      <c r="AD197" s="9" t="str">
        <f t="shared" ref="AD197" ca="1" si="985">IF(OR(AD$5="",AD$5=0),"",IF(AD$6=$D197,"W",IF(_xlfn.RANK.EQ(AD196,$E196:$AI196,0)&lt;=INT($AO197),"P",IF(AND(_xlfn.RANK.EQ(AD196,$E196:$AI196,0)=INT($AO197)+1,MOD($AO197,1)=0.5),"H","A"))))</f>
        <v>P</v>
      </c>
      <c r="AE197" s="9" t="str">
        <f t="shared" ref="AE197" ca="1" si="986">IF(OR(AE$5="",AE$5=0),"",IF(AE$6=$D197,"W",IF(_xlfn.RANK.EQ(AE196,$E196:$AI196,0)&lt;=INT($AO197),"P",IF(AND(_xlfn.RANK.EQ(AE196,$E196:$AI196,0)=INT($AO197)+1,MOD($AO197,1)=0.5),"H","A"))))</f>
        <v>P</v>
      </c>
      <c r="AF197" s="9" t="str">
        <f t="shared" ref="AF197" si="987">IF(OR(AF$5="",AF$5=0),"",IF(AF$6=$D197,"W",IF(_xlfn.RANK.EQ(AF196,$E196:$AI196,0)&lt;=INT($AO197),"P",IF(AND(_xlfn.RANK.EQ(AF196,$E196:$AI196,0)=INT($AO197)+1,MOD($AO197,1)=0.5),"H","A"))))</f>
        <v>W</v>
      </c>
      <c r="AG197" s="9" t="str">
        <f t="shared" ref="AG197" ca="1" si="988">IF(OR(AG$5="",AG$5=0),"",IF(AG$6=$D197,"W",IF(_xlfn.RANK.EQ(AG196,$E196:$AI196,0)&lt;=INT($AO197),"P",IF(AND(_xlfn.RANK.EQ(AG196,$E196:$AI196,0)=INT($AO197)+1,MOD($AO197,1)=0.5),"H","A"))))</f>
        <v>P</v>
      </c>
      <c r="AH197" s="9" t="str">
        <f t="shared" ref="AH197" ca="1" si="989">IF(OR(AH$5="",AH$5=0),"",IF(AH$6=$D197,"W",IF(_xlfn.RANK.EQ(AH196,$E196:$AI196,0)&lt;=INT($AO197),"P",IF(AND(_xlfn.RANK.EQ(AH196,$E196:$AI196,0)=INT($AO197)+1,MOD($AO197,1)=0.5),"H","A"))))</f>
        <v>P</v>
      </c>
      <c r="AI197" s="9" t="str">
        <f t="shared" ref="AI197" ca="1" si="990">IF(OR(AI$5="",AI$5=0),"",IF(AI$6=$D197,"W",IF(_xlfn.RANK.EQ(AI196,$E196:$AI196,0)&lt;=INT($AO197),"P",IF(AND(_xlfn.RANK.EQ(AI196,$E196:$AI196,0)=INT($AO197)+1,MOD($AO197,1)=0.5),"H","A"))))</f>
        <v>P</v>
      </c>
      <c r="AJ197" s="16">
        <f t="shared" ref="AJ197" ca="1" si="991">COUNTIF(E197:AI197, "P")</f>
        <v>26</v>
      </c>
      <c r="AK197" s="17">
        <f t="shared" ref="AK197:AK204" ca="1" si="992">COUNTIF(E197:AH197, "A")</f>
        <v>1</v>
      </c>
      <c r="AL197" s="17">
        <f t="shared" ref="AL197:AL204" ca="1" si="993">COUNTIF(E197:AH197, "W")</f>
        <v>4</v>
      </c>
      <c r="AM197" s="17">
        <f t="shared" ref="AM197:AM204" ca="1" si="994">COUNTIF(E197:AH197, "H")</f>
        <v>0</v>
      </c>
      <c r="AN197" s="17">
        <f t="shared" ref="AN197:AN204" ca="1" si="995">COUNTIF(E197:AH197, "PL")</f>
        <v>0</v>
      </c>
      <c r="AO197" s="18">
        <v>26</v>
      </c>
    </row>
    <row r="198" spans="1:41" ht="15" x14ac:dyDescent="0.3">
      <c r="A198" s="19"/>
      <c r="C198" s="48"/>
      <c r="D198" s="45" t="s">
        <v>1</v>
      </c>
      <c r="E198" s="20" t="str">
        <f t="shared" ref="E198:AI198" ca="1" si="996">IF(E197="P", IF($D196="G", TEXT(RAND()*(9.27-9.62)/24+9.62/24,"HH:MM"), IF($D196="A", TEXT(RAND()*(8.06-8.1)/24+8.15/24,"HH:MM"), IF($D196="B", TEXT(RAND()*(16.06-16.1)/24+16.15/24,"HH:MM"), IF($D196="C", TEXT(RAND()*(24.85-24.13)/24+24.13/24,"HH:MM"), " ")))), "")</f>
        <v>08:06</v>
      </c>
      <c r="F198" s="20" t="str">
        <f t="shared" ca="1" si="996"/>
        <v>08:08</v>
      </c>
      <c r="G198" s="20" t="str">
        <f t="shared" ca="1" si="996"/>
        <v>08:06</v>
      </c>
      <c r="H198" s="20" t="str">
        <f t="shared" ca="1" si="996"/>
        <v>08:07</v>
      </c>
      <c r="I198" s="20" t="str">
        <f t="shared" ca="1" si="996"/>
        <v>08:07</v>
      </c>
      <c r="J198" s="20" t="str">
        <f t="shared" ca="1" si="996"/>
        <v>08:06</v>
      </c>
      <c r="K198" s="20" t="str">
        <f t="shared" ca="1" si="996"/>
        <v/>
      </c>
      <c r="L198" s="20" t="str">
        <f t="shared" ca="1" si="996"/>
        <v>08:08</v>
      </c>
      <c r="M198" s="20" t="str">
        <f t="shared" ca="1" si="996"/>
        <v>08:08</v>
      </c>
      <c r="N198" s="20" t="str">
        <f t="shared" ca="1" si="996"/>
        <v>08:07</v>
      </c>
      <c r="O198" s="20" t="str">
        <f t="shared" ca="1" si="996"/>
        <v>08:08</v>
      </c>
      <c r="P198" s="20" t="str">
        <f t="shared" ca="1" si="996"/>
        <v>08:08</v>
      </c>
      <c r="Q198" s="20" t="str">
        <f t="shared" ca="1" si="996"/>
        <v>08:08</v>
      </c>
      <c r="R198" s="20" t="str">
        <f t="shared" ca="1" si="996"/>
        <v/>
      </c>
      <c r="S198" s="20" t="str">
        <f t="shared" ca="1" si="996"/>
        <v>08:07</v>
      </c>
      <c r="T198" s="20" t="str">
        <f t="shared" ca="1" si="996"/>
        <v>08:07</v>
      </c>
      <c r="U198" s="20" t="str">
        <f t="shared" ca="1" si="996"/>
        <v>08:07</v>
      </c>
      <c r="V198" s="20" t="str">
        <f t="shared" ca="1" si="996"/>
        <v>08:06</v>
      </c>
      <c r="W198" s="20" t="str">
        <f t="shared" ca="1" si="996"/>
        <v/>
      </c>
      <c r="X198" s="20" t="str">
        <f t="shared" ca="1" si="996"/>
        <v>08:08</v>
      </c>
      <c r="Y198" s="20" t="str">
        <f t="shared" ca="1" si="996"/>
        <v/>
      </c>
      <c r="Z198" s="20" t="str">
        <f t="shared" ca="1" si="996"/>
        <v>08:07</v>
      </c>
      <c r="AA198" s="20" t="str">
        <f t="shared" ca="1" si="996"/>
        <v>08:07</v>
      </c>
      <c r="AB198" s="20" t="str">
        <f t="shared" ca="1" si="996"/>
        <v>08:08</v>
      </c>
      <c r="AC198" s="20" t="str">
        <f t="shared" ca="1" si="996"/>
        <v>08:06</v>
      </c>
      <c r="AD198" s="20" t="str">
        <f t="shared" ca="1" si="996"/>
        <v>08:08</v>
      </c>
      <c r="AE198" s="20" t="str">
        <f t="shared" ca="1" si="996"/>
        <v>08:07</v>
      </c>
      <c r="AF198" s="20" t="str">
        <f t="shared" ca="1" si="996"/>
        <v/>
      </c>
      <c r="AG198" s="20" t="str">
        <f t="shared" ca="1" si="996"/>
        <v>08:08</v>
      </c>
      <c r="AH198" s="20" t="str">
        <f t="shared" ca="1" si="996"/>
        <v>08:08</v>
      </c>
      <c r="AI198" s="20" t="str">
        <f t="shared" ca="1" si="996"/>
        <v>08:07</v>
      </c>
      <c r="AJ198" s="21"/>
      <c r="AK198" s="22"/>
      <c r="AL198" s="22"/>
      <c r="AM198" s="22"/>
      <c r="AN198" s="22"/>
      <c r="AO198" s="23"/>
    </row>
    <row r="199" spans="1:41" ht="15" x14ac:dyDescent="0.3">
      <c r="A199" s="19"/>
      <c r="C199" s="48"/>
      <c r="D199" s="45" t="s">
        <v>2</v>
      </c>
      <c r="E199" s="20" t="str">
        <f t="shared" ref="E199:AI199" ca="1" si="997">IF(E197="P", IF($D196="G", TEXT(RAND()*(18.85-18.13)/24+18.13/24,"HH:MM"), IF($D196="A", TEXT(RAND()*(16.85-16.13)/24+16.13/24,"HH:MM"), IF($D196="B", TEXT(RAND()*(24.85-24.13)/24+24.13/24,"HH:MM"), IF($D196="C", TEXT(RAND()*(8.85-8.13)/24+8.13/24,"HH:MM"), " ")))), "")</f>
        <v>16:29</v>
      </c>
      <c r="F199" s="20" t="str">
        <f t="shared" ca="1" si="997"/>
        <v>16:21</v>
      </c>
      <c r="G199" s="20" t="str">
        <f t="shared" ca="1" si="997"/>
        <v>16:42</v>
      </c>
      <c r="H199" s="20" t="str">
        <f t="shared" ca="1" si="997"/>
        <v>16:08</v>
      </c>
      <c r="I199" s="20" t="str">
        <f t="shared" ca="1" si="997"/>
        <v>16:26</v>
      </c>
      <c r="J199" s="20" t="str">
        <f t="shared" ca="1" si="997"/>
        <v>16:42</v>
      </c>
      <c r="K199" s="20" t="str">
        <f t="shared" ca="1" si="997"/>
        <v/>
      </c>
      <c r="L199" s="20" t="str">
        <f t="shared" ca="1" si="997"/>
        <v>16:20</v>
      </c>
      <c r="M199" s="20" t="str">
        <f t="shared" ca="1" si="997"/>
        <v>16:36</v>
      </c>
      <c r="N199" s="20" t="str">
        <f t="shared" ca="1" si="997"/>
        <v>16:17</v>
      </c>
      <c r="O199" s="20" t="str">
        <f t="shared" ca="1" si="997"/>
        <v>16:08</v>
      </c>
      <c r="P199" s="20" t="str">
        <f t="shared" ca="1" si="997"/>
        <v>16:43</v>
      </c>
      <c r="Q199" s="20" t="str">
        <f t="shared" ca="1" si="997"/>
        <v>16:13</v>
      </c>
      <c r="R199" s="20" t="str">
        <f t="shared" ca="1" si="997"/>
        <v/>
      </c>
      <c r="S199" s="20" t="str">
        <f t="shared" ca="1" si="997"/>
        <v>16:31</v>
      </c>
      <c r="T199" s="20" t="str">
        <f t="shared" ca="1" si="997"/>
        <v>16:18</v>
      </c>
      <c r="U199" s="20" t="str">
        <f t="shared" ca="1" si="997"/>
        <v>16:34</v>
      </c>
      <c r="V199" s="20" t="str">
        <f t="shared" ca="1" si="997"/>
        <v>16:20</v>
      </c>
      <c r="W199" s="20" t="str">
        <f t="shared" ca="1" si="997"/>
        <v/>
      </c>
      <c r="X199" s="20" t="str">
        <f t="shared" ca="1" si="997"/>
        <v>16:30</v>
      </c>
      <c r="Y199" s="20" t="str">
        <f t="shared" ca="1" si="997"/>
        <v/>
      </c>
      <c r="Z199" s="20" t="str">
        <f t="shared" ca="1" si="997"/>
        <v>16:35</v>
      </c>
      <c r="AA199" s="20" t="str">
        <f t="shared" ca="1" si="997"/>
        <v>16:36</v>
      </c>
      <c r="AB199" s="20" t="str">
        <f t="shared" ca="1" si="997"/>
        <v>16:27</v>
      </c>
      <c r="AC199" s="20" t="str">
        <f t="shared" ca="1" si="997"/>
        <v>16:18</v>
      </c>
      <c r="AD199" s="20" t="str">
        <f t="shared" ca="1" si="997"/>
        <v>16:48</v>
      </c>
      <c r="AE199" s="20" t="str">
        <f t="shared" ca="1" si="997"/>
        <v>16:37</v>
      </c>
      <c r="AF199" s="20" t="str">
        <f t="shared" ca="1" si="997"/>
        <v/>
      </c>
      <c r="AG199" s="20" t="str">
        <f t="shared" ca="1" si="997"/>
        <v>16:37</v>
      </c>
      <c r="AH199" s="20" t="str">
        <f t="shared" ca="1" si="997"/>
        <v>16:18</v>
      </c>
      <c r="AI199" s="20" t="str">
        <f t="shared" ca="1" si="997"/>
        <v>16:20</v>
      </c>
      <c r="AJ199" s="24" t="s">
        <v>13</v>
      </c>
      <c r="AK199" s="25"/>
      <c r="AL199" s="25"/>
      <c r="AM199" s="25"/>
      <c r="AN199" s="25"/>
      <c r="AO199" s="23"/>
    </row>
    <row r="200" spans="1:41" ht="15" x14ac:dyDescent="0.3">
      <c r="A200" s="26"/>
      <c r="C200" s="48"/>
      <c r="D200" s="45" t="s">
        <v>14</v>
      </c>
      <c r="E200" s="27">
        <f t="shared" ref="E200:AI200" ca="1" si="998">IF(E197="P", MOD(E199-E198, 1), " ")</f>
        <v>0.34930555555555554</v>
      </c>
      <c r="F200" s="27">
        <f t="shared" ca="1" si="998"/>
        <v>0.34236111111111112</v>
      </c>
      <c r="G200" s="27">
        <f t="shared" ca="1" si="998"/>
        <v>0.35833333333333328</v>
      </c>
      <c r="H200" s="27">
        <f t="shared" ca="1" si="998"/>
        <v>0.33402777777777781</v>
      </c>
      <c r="I200" s="27">
        <f t="shared" ca="1" si="998"/>
        <v>0.34652777777777777</v>
      </c>
      <c r="J200" s="27">
        <f t="shared" ca="1" si="998"/>
        <v>0.35833333333333328</v>
      </c>
      <c r="K200" s="27" t="str">
        <f t="shared" si="998"/>
        <v xml:space="preserve"> </v>
      </c>
      <c r="L200" s="27">
        <f t="shared" ca="1" si="998"/>
        <v>0.34166666666666667</v>
      </c>
      <c r="M200" s="27">
        <f t="shared" ca="1" si="998"/>
        <v>0.35277777777777775</v>
      </c>
      <c r="N200" s="27">
        <f t="shared" ca="1" si="998"/>
        <v>0.34027777777777779</v>
      </c>
      <c r="O200" s="27">
        <f t="shared" ca="1" si="998"/>
        <v>0.33333333333333337</v>
      </c>
      <c r="P200" s="27">
        <f t="shared" ca="1" si="998"/>
        <v>0.35763888888888884</v>
      </c>
      <c r="Q200" s="27">
        <f t="shared" ca="1" si="998"/>
        <v>0.33680555555555558</v>
      </c>
      <c r="R200" s="27" t="str">
        <f t="shared" si="998"/>
        <v xml:space="preserve"> </v>
      </c>
      <c r="S200" s="27">
        <f t="shared" ca="1" si="998"/>
        <v>0.35</v>
      </c>
      <c r="T200" s="27">
        <f t="shared" ca="1" si="998"/>
        <v>0.34097222222222223</v>
      </c>
      <c r="U200" s="27">
        <f t="shared" ca="1" si="998"/>
        <v>0.3520833333333333</v>
      </c>
      <c r="V200" s="27">
        <f t="shared" ca="1" si="998"/>
        <v>0.34305555555555556</v>
      </c>
      <c r="W200" s="27" t="str">
        <f t="shared" ca="1" si="998"/>
        <v xml:space="preserve"> </v>
      </c>
      <c r="X200" s="27">
        <f t="shared" ca="1" si="998"/>
        <v>0.34861111111111109</v>
      </c>
      <c r="Y200" s="27" t="str">
        <f t="shared" si="998"/>
        <v xml:space="preserve"> </v>
      </c>
      <c r="Z200" s="27">
        <f t="shared" ca="1" si="998"/>
        <v>0.35277777777777775</v>
      </c>
      <c r="AA200" s="27">
        <f t="shared" ca="1" si="998"/>
        <v>0.35347222222222219</v>
      </c>
      <c r="AB200" s="27">
        <f t="shared" ca="1" si="998"/>
        <v>0.34652777777777777</v>
      </c>
      <c r="AC200" s="27">
        <f t="shared" ca="1" si="998"/>
        <v>0.34166666666666667</v>
      </c>
      <c r="AD200" s="27">
        <f t="shared" ca="1" si="998"/>
        <v>0.36111111111111105</v>
      </c>
      <c r="AE200" s="27">
        <f t="shared" ca="1" si="998"/>
        <v>0.35416666666666663</v>
      </c>
      <c r="AF200" s="27" t="str">
        <f t="shared" si="998"/>
        <v xml:space="preserve"> </v>
      </c>
      <c r="AG200" s="27">
        <f t="shared" ca="1" si="998"/>
        <v>0.35347222222222219</v>
      </c>
      <c r="AH200" s="27">
        <f t="shared" ca="1" si="998"/>
        <v>0.34027777777777779</v>
      </c>
      <c r="AI200" s="27">
        <f t="shared" ca="1" si="998"/>
        <v>0.34236111111111112</v>
      </c>
      <c r="AJ200" s="28">
        <f t="shared" ref="AJ200" ca="1" si="999">AJ197*8</f>
        <v>208</v>
      </c>
      <c r="AK200" s="29"/>
      <c r="AL200" s="29"/>
      <c r="AM200" s="29"/>
      <c r="AN200" s="29"/>
      <c r="AO200" s="23"/>
    </row>
    <row r="201" spans="1:41" ht="15" x14ac:dyDescent="0.3">
      <c r="A201" s="26"/>
      <c r="C201" s="48"/>
      <c r="D201" s="45" t="s">
        <v>19</v>
      </c>
      <c r="E201" s="27" t="str">
        <f t="shared" ref="E201:AI201" ca="1" si="1000">IF(E197="P","08:00"," ")</f>
        <v>08:00</v>
      </c>
      <c r="F201" s="27" t="str">
        <f t="shared" ca="1" si="1000"/>
        <v>08:00</v>
      </c>
      <c r="G201" s="27" t="str">
        <f t="shared" ca="1" si="1000"/>
        <v>08:00</v>
      </c>
      <c r="H201" s="27" t="str">
        <f t="shared" ca="1" si="1000"/>
        <v>08:00</v>
      </c>
      <c r="I201" s="27" t="str">
        <f t="shared" ca="1" si="1000"/>
        <v>08:00</v>
      </c>
      <c r="J201" s="27" t="str">
        <f t="shared" ca="1" si="1000"/>
        <v>08:00</v>
      </c>
      <c r="K201" s="27" t="str">
        <f t="shared" si="1000"/>
        <v xml:space="preserve"> </v>
      </c>
      <c r="L201" s="27" t="str">
        <f t="shared" ca="1" si="1000"/>
        <v>08:00</v>
      </c>
      <c r="M201" s="27" t="str">
        <f t="shared" ca="1" si="1000"/>
        <v>08:00</v>
      </c>
      <c r="N201" s="27" t="str">
        <f t="shared" ca="1" si="1000"/>
        <v>08:00</v>
      </c>
      <c r="O201" s="27" t="str">
        <f t="shared" ca="1" si="1000"/>
        <v>08:00</v>
      </c>
      <c r="P201" s="27" t="str">
        <f t="shared" ca="1" si="1000"/>
        <v>08:00</v>
      </c>
      <c r="Q201" s="27" t="str">
        <f t="shared" ca="1" si="1000"/>
        <v>08:00</v>
      </c>
      <c r="R201" s="27" t="str">
        <f t="shared" si="1000"/>
        <v xml:space="preserve"> </v>
      </c>
      <c r="S201" s="27" t="str">
        <f t="shared" ca="1" si="1000"/>
        <v>08:00</v>
      </c>
      <c r="T201" s="27" t="str">
        <f t="shared" ca="1" si="1000"/>
        <v>08:00</v>
      </c>
      <c r="U201" s="27" t="str">
        <f t="shared" ca="1" si="1000"/>
        <v>08:00</v>
      </c>
      <c r="V201" s="27" t="str">
        <f t="shared" ca="1" si="1000"/>
        <v>08:00</v>
      </c>
      <c r="W201" s="27" t="str">
        <f t="shared" ca="1" si="1000"/>
        <v xml:space="preserve"> </v>
      </c>
      <c r="X201" s="27" t="str">
        <f t="shared" ca="1" si="1000"/>
        <v>08:00</v>
      </c>
      <c r="Y201" s="27" t="str">
        <f t="shared" si="1000"/>
        <v xml:space="preserve"> </v>
      </c>
      <c r="Z201" s="27" t="str">
        <f t="shared" ca="1" si="1000"/>
        <v>08:00</v>
      </c>
      <c r="AA201" s="27" t="str">
        <f t="shared" ca="1" si="1000"/>
        <v>08:00</v>
      </c>
      <c r="AB201" s="27" t="str">
        <f t="shared" ca="1" si="1000"/>
        <v>08:00</v>
      </c>
      <c r="AC201" s="27" t="str">
        <f t="shared" ca="1" si="1000"/>
        <v>08:00</v>
      </c>
      <c r="AD201" s="27" t="str">
        <f t="shared" ca="1" si="1000"/>
        <v>08:00</v>
      </c>
      <c r="AE201" s="27" t="str">
        <f t="shared" ca="1" si="1000"/>
        <v>08:00</v>
      </c>
      <c r="AF201" s="27" t="str">
        <f t="shared" si="1000"/>
        <v xml:space="preserve"> </v>
      </c>
      <c r="AG201" s="27" t="str">
        <f t="shared" ca="1" si="1000"/>
        <v>08:00</v>
      </c>
      <c r="AH201" s="27" t="str">
        <f t="shared" ca="1" si="1000"/>
        <v>08:00</v>
      </c>
      <c r="AI201" s="27" t="str">
        <f t="shared" ca="1" si="1000"/>
        <v>08:00</v>
      </c>
      <c r="AJ201" s="28"/>
      <c r="AK201" s="29"/>
      <c r="AL201" s="29"/>
      <c r="AM201" s="29"/>
      <c r="AN201" s="29"/>
      <c r="AO201" s="23"/>
    </row>
    <row r="202" spans="1:41" ht="15" x14ac:dyDescent="0.3">
      <c r="A202" s="26"/>
      <c r="C202" s="48"/>
      <c r="D202" s="45" t="s">
        <v>12</v>
      </c>
      <c r="E202" s="27" t="str">
        <f t="shared" ref="E202:AI202" ca="1" si="1001">IF(E197="P","01:00"," ")</f>
        <v>01:00</v>
      </c>
      <c r="F202" s="27" t="str">
        <f t="shared" ca="1" si="1001"/>
        <v>01:00</v>
      </c>
      <c r="G202" s="27" t="str">
        <f t="shared" ca="1" si="1001"/>
        <v>01:00</v>
      </c>
      <c r="H202" s="27" t="str">
        <f t="shared" ca="1" si="1001"/>
        <v>01:00</v>
      </c>
      <c r="I202" s="27" t="str">
        <f t="shared" ca="1" si="1001"/>
        <v>01:00</v>
      </c>
      <c r="J202" s="27" t="str">
        <f t="shared" ca="1" si="1001"/>
        <v>01:00</v>
      </c>
      <c r="K202" s="27" t="str">
        <f t="shared" si="1001"/>
        <v xml:space="preserve"> </v>
      </c>
      <c r="L202" s="27" t="str">
        <f t="shared" ca="1" si="1001"/>
        <v>01:00</v>
      </c>
      <c r="M202" s="27" t="str">
        <f t="shared" ca="1" si="1001"/>
        <v>01:00</v>
      </c>
      <c r="N202" s="27" t="str">
        <f t="shared" ca="1" si="1001"/>
        <v>01:00</v>
      </c>
      <c r="O202" s="27" t="str">
        <f t="shared" ca="1" si="1001"/>
        <v>01:00</v>
      </c>
      <c r="P202" s="27" t="str">
        <f t="shared" ca="1" si="1001"/>
        <v>01:00</v>
      </c>
      <c r="Q202" s="27" t="str">
        <f t="shared" ca="1" si="1001"/>
        <v>01:00</v>
      </c>
      <c r="R202" s="27" t="str">
        <f t="shared" si="1001"/>
        <v xml:space="preserve"> </v>
      </c>
      <c r="S202" s="27" t="str">
        <f t="shared" ca="1" si="1001"/>
        <v>01:00</v>
      </c>
      <c r="T202" s="27" t="str">
        <f t="shared" ca="1" si="1001"/>
        <v>01:00</v>
      </c>
      <c r="U202" s="27" t="str">
        <f t="shared" ca="1" si="1001"/>
        <v>01:00</v>
      </c>
      <c r="V202" s="27" t="str">
        <f t="shared" ca="1" si="1001"/>
        <v>01:00</v>
      </c>
      <c r="W202" s="27" t="str">
        <f t="shared" ca="1" si="1001"/>
        <v xml:space="preserve"> </v>
      </c>
      <c r="X202" s="27" t="str">
        <f t="shared" ca="1" si="1001"/>
        <v>01:00</v>
      </c>
      <c r="Y202" s="27" t="str">
        <f t="shared" si="1001"/>
        <v xml:space="preserve"> </v>
      </c>
      <c r="Z202" s="27" t="str">
        <f t="shared" ca="1" si="1001"/>
        <v>01:00</v>
      </c>
      <c r="AA202" s="27" t="str">
        <f t="shared" ca="1" si="1001"/>
        <v>01:00</v>
      </c>
      <c r="AB202" s="27" t="str">
        <f t="shared" ca="1" si="1001"/>
        <v>01:00</v>
      </c>
      <c r="AC202" s="27" t="str">
        <f t="shared" ca="1" si="1001"/>
        <v>01:00</v>
      </c>
      <c r="AD202" s="27" t="str">
        <f t="shared" ca="1" si="1001"/>
        <v>01:00</v>
      </c>
      <c r="AE202" s="27" t="str">
        <f t="shared" ca="1" si="1001"/>
        <v>01:00</v>
      </c>
      <c r="AF202" s="27" t="str">
        <f t="shared" si="1001"/>
        <v xml:space="preserve"> </v>
      </c>
      <c r="AG202" s="27" t="str">
        <f t="shared" ca="1" si="1001"/>
        <v>01:00</v>
      </c>
      <c r="AH202" s="27" t="str">
        <f t="shared" ca="1" si="1001"/>
        <v>01:00</v>
      </c>
      <c r="AI202" s="27" t="str">
        <f t="shared" ca="1" si="1001"/>
        <v>01:00</v>
      </c>
      <c r="AJ202" s="24" t="s">
        <v>11</v>
      </c>
      <c r="AK202" s="25"/>
      <c r="AL202" s="25"/>
      <c r="AM202" s="25"/>
      <c r="AN202" s="25"/>
      <c r="AO202" s="23"/>
    </row>
    <row r="203" spans="1:41" ht="15" x14ac:dyDescent="0.3">
      <c r="A203" s="26"/>
      <c r="C203" s="48"/>
      <c r="D203" s="45" t="s">
        <v>11</v>
      </c>
      <c r="E203" s="27">
        <f t="shared" ref="E203:AI203" ca="1" si="1002">IF(E197="P",E200-E202," ")</f>
        <v>0.30763888888888885</v>
      </c>
      <c r="F203" s="27">
        <f t="shared" ca="1" si="1002"/>
        <v>0.30069444444444443</v>
      </c>
      <c r="G203" s="27">
        <f t="shared" ca="1" si="1002"/>
        <v>0.3166666666666666</v>
      </c>
      <c r="H203" s="27">
        <f t="shared" ca="1" si="1002"/>
        <v>0.29236111111111113</v>
      </c>
      <c r="I203" s="27">
        <f t="shared" ca="1" si="1002"/>
        <v>0.30486111111111108</v>
      </c>
      <c r="J203" s="27">
        <f t="shared" ca="1" si="1002"/>
        <v>0.3166666666666666</v>
      </c>
      <c r="K203" s="27" t="str">
        <f t="shared" si="1002"/>
        <v xml:space="preserve"> </v>
      </c>
      <c r="L203" s="27">
        <f t="shared" ca="1" si="1002"/>
        <v>0.3</v>
      </c>
      <c r="M203" s="27">
        <f t="shared" ca="1" si="1002"/>
        <v>0.31111111111111106</v>
      </c>
      <c r="N203" s="27">
        <f t="shared" ca="1" si="1002"/>
        <v>0.2986111111111111</v>
      </c>
      <c r="O203" s="27">
        <f t="shared" ca="1" si="1002"/>
        <v>0.29166666666666669</v>
      </c>
      <c r="P203" s="27">
        <f t="shared" ca="1" si="1002"/>
        <v>0.31597222222222215</v>
      </c>
      <c r="Q203" s="27">
        <f t="shared" ca="1" si="1002"/>
        <v>0.2951388888888889</v>
      </c>
      <c r="R203" s="27" t="str">
        <f t="shared" si="1002"/>
        <v xml:space="preserve"> </v>
      </c>
      <c r="S203" s="27">
        <f t="shared" ca="1" si="1002"/>
        <v>0.30833333333333329</v>
      </c>
      <c r="T203" s="27">
        <f t="shared" ca="1" si="1002"/>
        <v>0.29930555555555555</v>
      </c>
      <c r="U203" s="27">
        <f t="shared" ca="1" si="1002"/>
        <v>0.31041666666666662</v>
      </c>
      <c r="V203" s="27">
        <f t="shared" ca="1" si="1002"/>
        <v>0.30138888888888887</v>
      </c>
      <c r="W203" s="27" t="str">
        <f t="shared" ca="1" si="1002"/>
        <v xml:space="preserve"> </v>
      </c>
      <c r="X203" s="27">
        <f t="shared" ca="1" si="1002"/>
        <v>0.30694444444444441</v>
      </c>
      <c r="Y203" s="27" t="str">
        <f t="shared" si="1002"/>
        <v xml:space="preserve"> </v>
      </c>
      <c r="Z203" s="27">
        <f t="shared" ca="1" si="1002"/>
        <v>0.31111111111111106</v>
      </c>
      <c r="AA203" s="27">
        <f t="shared" ca="1" si="1002"/>
        <v>0.3118055555555555</v>
      </c>
      <c r="AB203" s="27">
        <f t="shared" ca="1" si="1002"/>
        <v>0.30486111111111108</v>
      </c>
      <c r="AC203" s="27">
        <f t="shared" ca="1" si="1002"/>
        <v>0.3</v>
      </c>
      <c r="AD203" s="27">
        <f t="shared" ca="1" si="1002"/>
        <v>0.31944444444444436</v>
      </c>
      <c r="AE203" s="27">
        <f t="shared" ca="1" si="1002"/>
        <v>0.31249999999999994</v>
      </c>
      <c r="AF203" s="27" t="str">
        <f t="shared" si="1002"/>
        <v xml:space="preserve"> </v>
      </c>
      <c r="AG203" s="27">
        <f t="shared" ca="1" si="1002"/>
        <v>0.3118055555555555</v>
      </c>
      <c r="AH203" s="27">
        <f t="shared" ca="1" si="1002"/>
        <v>0.2986111111111111</v>
      </c>
      <c r="AI203" s="27">
        <f t="shared" ca="1" si="1002"/>
        <v>0.30069444444444443</v>
      </c>
      <c r="AJ203" s="30">
        <f t="shared" ref="AJ203:AJ204" ca="1" si="1003">SUM(E203:AH203)</f>
        <v>7.6479166666666663</v>
      </c>
      <c r="AK203" s="25"/>
      <c r="AL203" s="25"/>
      <c r="AM203" s="25"/>
      <c r="AN203" s="25"/>
      <c r="AO203" s="23"/>
    </row>
    <row r="204" spans="1:41" ht="15.6" thickBot="1" x14ac:dyDescent="0.35">
      <c r="A204" s="31"/>
      <c r="B204" s="32"/>
      <c r="C204" s="49"/>
      <c r="D204" s="46" t="s">
        <v>20</v>
      </c>
      <c r="E204" s="33">
        <f t="shared" ref="E204:AI204" ca="1" si="1004">IF(E197="P",(IF(E201&gt;E203,0,E203-E201))," ")</f>
        <v>0</v>
      </c>
      <c r="F204" s="33">
        <f t="shared" ca="1" si="1004"/>
        <v>0</v>
      </c>
      <c r="G204" s="33">
        <f t="shared" ca="1" si="1004"/>
        <v>0</v>
      </c>
      <c r="H204" s="33">
        <f t="shared" ca="1" si="1004"/>
        <v>0</v>
      </c>
      <c r="I204" s="33">
        <f t="shared" ca="1" si="1004"/>
        <v>0</v>
      </c>
      <c r="J204" s="33">
        <f t="shared" ca="1" si="1004"/>
        <v>0</v>
      </c>
      <c r="K204" s="33" t="str">
        <f t="shared" si="1004"/>
        <v xml:space="preserve"> </v>
      </c>
      <c r="L204" s="33">
        <f t="shared" ca="1" si="1004"/>
        <v>0</v>
      </c>
      <c r="M204" s="33">
        <f t="shared" ca="1" si="1004"/>
        <v>0</v>
      </c>
      <c r="N204" s="33">
        <f t="shared" ca="1" si="1004"/>
        <v>0</v>
      </c>
      <c r="O204" s="33">
        <f t="shared" ca="1" si="1004"/>
        <v>0</v>
      </c>
      <c r="P204" s="33">
        <f t="shared" ca="1" si="1004"/>
        <v>0</v>
      </c>
      <c r="Q204" s="33">
        <f t="shared" ca="1" si="1004"/>
        <v>0</v>
      </c>
      <c r="R204" s="33" t="str">
        <f t="shared" si="1004"/>
        <v xml:space="preserve"> </v>
      </c>
      <c r="S204" s="33">
        <f t="shared" ca="1" si="1004"/>
        <v>0</v>
      </c>
      <c r="T204" s="33">
        <f t="shared" ca="1" si="1004"/>
        <v>0</v>
      </c>
      <c r="U204" s="33">
        <f t="shared" ca="1" si="1004"/>
        <v>0</v>
      </c>
      <c r="V204" s="33">
        <f t="shared" ca="1" si="1004"/>
        <v>0</v>
      </c>
      <c r="W204" s="33" t="str">
        <f t="shared" ca="1" si="1004"/>
        <v xml:space="preserve"> </v>
      </c>
      <c r="X204" s="33">
        <f t="shared" ca="1" si="1004"/>
        <v>0</v>
      </c>
      <c r="Y204" s="33" t="str">
        <f t="shared" si="1004"/>
        <v xml:space="preserve"> </v>
      </c>
      <c r="Z204" s="33">
        <f t="shared" ca="1" si="1004"/>
        <v>0</v>
      </c>
      <c r="AA204" s="33">
        <f t="shared" ca="1" si="1004"/>
        <v>0</v>
      </c>
      <c r="AB204" s="33">
        <f t="shared" ca="1" si="1004"/>
        <v>0</v>
      </c>
      <c r="AC204" s="33">
        <f t="shared" ca="1" si="1004"/>
        <v>0</v>
      </c>
      <c r="AD204" s="33">
        <f t="shared" ca="1" si="1004"/>
        <v>0</v>
      </c>
      <c r="AE204" s="33">
        <f t="shared" ca="1" si="1004"/>
        <v>0</v>
      </c>
      <c r="AF204" s="33" t="str">
        <f t="shared" si="1004"/>
        <v xml:space="preserve"> </v>
      </c>
      <c r="AG204" s="33">
        <f t="shared" ca="1" si="1004"/>
        <v>0</v>
      </c>
      <c r="AH204" s="33">
        <f t="shared" ca="1" si="1004"/>
        <v>0</v>
      </c>
      <c r="AI204" s="33">
        <f t="shared" ca="1" si="1004"/>
        <v>0</v>
      </c>
      <c r="AJ204" s="34">
        <f t="shared" ca="1" si="1003"/>
        <v>0</v>
      </c>
      <c r="AK204" s="35"/>
      <c r="AL204" s="35"/>
      <c r="AM204" s="35"/>
      <c r="AN204" s="35"/>
      <c r="AO204" s="36"/>
    </row>
  </sheetData>
  <autoFilter ref="A4:AP204" xr:uid="{00000000-0001-0000-0000-000000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5" showButton="0"/>
    <filterColumn colId="36" showButton="0"/>
    <filterColumn colId="37" showButton="0"/>
    <filterColumn colId="38" showButton="0"/>
    <filterColumn colId="39" showButton="0"/>
  </autoFilter>
  <dataConsolidate/>
  <mergeCells count="9">
    <mergeCell ref="B4:B6"/>
    <mergeCell ref="C4:C6"/>
    <mergeCell ref="D4:D6"/>
    <mergeCell ref="A4:A6"/>
    <mergeCell ref="D1:AL1"/>
    <mergeCell ref="D2:AL2"/>
    <mergeCell ref="D3:F3"/>
    <mergeCell ref="AJ4:AO4"/>
    <mergeCell ref="E4:AI4"/>
  </mergeCells>
  <phoneticPr fontId="10" type="noConversion"/>
  <conditionalFormatting sqref="E14:AI15 E23:AI24 E32:AI33 E41:AI42 E50:AI51 E59:AI60 E68:AI69 E77:AI78 E86:AI87 E95:AI96 E104:AI105 E113:AI114 E122:AI123 E131:AI132 E140:AI141 E149:AI150 E158:AI159 E167:AI168 E176:AI177 E185:AI186 E194:AI195 E203:AI204">
    <cfRule type="cellIs" dxfId="1" priority="464" operator="greaterThan">
      <formula>0.34375</formula>
    </cfRule>
    <cfRule type="cellIs" dxfId="0" priority="465" operator="greaterThan">
      <formula>8.15</formula>
    </cfRule>
  </conditionalFormatting>
  <printOptions horizontalCentered="1"/>
  <pageMargins left="0" right="0" top="0.15748031496062992" bottom="0.19685039370078741" header="0.11811023622047245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Madhav Vayeda</cp:lastModifiedBy>
  <cp:lastPrinted>2024-04-21T17:23:23Z</cp:lastPrinted>
  <dcterms:created xsi:type="dcterms:W3CDTF">2023-05-04T19:48:28Z</dcterms:created>
  <dcterms:modified xsi:type="dcterms:W3CDTF">2026-01-06T16:11:39Z</dcterms:modified>
</cp:coreProperties>
</file>